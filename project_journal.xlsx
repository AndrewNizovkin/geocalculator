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  <sheet name="Polygon test dat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<sst xmlns="http://schemas.openxmlformats.org/spreadsheetml/2006/main" count="195" uniqueCount="138">
  <si>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</si>
  <si>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</si>
  <si>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</si>
  <si>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</si>
  <si>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</si>
  <si>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</si>
  <si>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</si>
  <si>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</si>
  <si>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</si>
  <si>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</si>
  <si>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</si>
  <si>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</si>
  <si>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</si>
  <si>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</si>
  <si>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</si>
  <si>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</si>
  <si>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</si>
  <si>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</si>
  <si>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</si>
  <si>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</si>
  <si>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</si>
  <si>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</si>
  <si>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</si>
  <si>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</si>
  <si>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</si>
  <si>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</si>
  <si>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</si>
  <si>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</si>
  <si>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</si>
  <si>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</si>
  <si>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</si>
  <si>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</si>
  <si>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</si>
  <si>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</si>
  <si>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</si>
  <si>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</si>
  <si>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</si>
  <si>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</si>
  <si>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</si>
  <si>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</si>
  <si>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</si>
  <si>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</si>
  <si>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</si>
  <si>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</si>
  <si>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</si>
  <si>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</si>
  <si>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</si>
  <si>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</si>
  <si>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</si>
  <si>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</si>
  <si>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</si>
  <si>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</si>
  <si>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</si>
  <si>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</si>
  <si>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</si>
  <si>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</si>
  <si>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</si>
  <si>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</si>
  <si>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</si>
  <si>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</si>
  <si>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</si>
  <si>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</si>
  <si>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</si>
  <si>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</si>
  <si>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</si>
  <si>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</si>
  <si>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</si>
  <si>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</si>
  <si>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</si>
  <si>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</si>
  <si>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</si>
  <si>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</si>
  <si>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</si>
  <si>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</si>
  <si>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</si>
  <si>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</si>
  <si>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</si>
  <si>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</si>
  <si>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</si>
  <si>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</si>
  <si>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</si>
  <si>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</si>
  <si>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</si>
  <si>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</si>
  <si>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</si>
  <si>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</si>
  <si>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</si>
  <si>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</si>
  <si>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</si>
  <si>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</si>
  <si>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</si>
  <si>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</si>
  <si>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</si>
  <si>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</si>
  <si>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</si>
  <si>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</si>
  <si>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</si>
  <si>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</si>
  <si>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</si>
  <si>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</si>
  <si>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</si>
  <si>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</si>
  <si>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</si>
  <si>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</si>
  <si>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</si>
  <si>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</si>
  <si>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</si>
  <si>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</si>
  <si>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</si>
  <si>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</si>
  <si>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</si>
  <si>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</si>
  <si>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</si>
  <si>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</si>
  <si>
    <t xml:space="preserve">horAngle</t>
  </si>
  <si>
    <t xml:space="preserve">correctionHorAngle</t>
  </si>
  <si>
    <t xml:space="preserve">directionAngle</t>
  </si>
  <si>
    <t xml:space="preserve">DX</t>
  </si>
  <si>
    <t xml:space="preserve">corrX</t>
  </si>
  <si>
    <t xml:space="preserve">DY</t>
  </si>
  <si>
    <t xml:space="preserve">corrY</t>
  </si>
  <si>
    <t xml:space="preserve">456961.430</t>
  </si>
  <si>
    <t xml:space="preserve">2261163.707</t>
  </si>
  <si>
    <t xml:space="preserve">456988.790</t>
  </si>
  <si>
    <t xml:space="preserve">2261202.196</t>
  </si>
  <si>
    <t xml:space="preserve">457057.453</t>
  </si>
  <si>
    <t xml:space="preserve">2261204.245</t>
  </si>
  <si>
    <t xml:space="preserve">457122.419</t>
  </si>
  <si>
    <t xml:space="preserve">2261202.416</t>
  </si>
  <si>
    <t xml:space="preserve">457129.441</t>
  </si>
  <si>
    <t xml:space="preserve">2261145.698</t>
  </si>
  <si>
    <t xml:space="preserve">457129.609</t>
  </si>
  <si>
    <t xml:space="preserve">2261111.97</t>
  </si>
  <si>
    <t xml:space="preserve">457131.018</t>
  </si>
  <si>
    <t xml:space="preserve">2261065.036</t>
  </si>
  <si>
    <t xml:space="preserve">∑ = </t>
  </si>
  <si>
    <t xml:space="preserve">Fhor = </t>
  </si>
  <si>
    <t xml:space="preserve">CorrHor =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</si>
</sst>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1562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0937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1.94140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4" activeCellId="0" sqref="D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5.66"/>
    <col collapsed="false" customWidth="true" hidden="false" outlineLevel="0" max="3" min="3" style="0" width="14.44"/>
    <col collapsed="false" customWidth="true" hidden="false" outlineLevel="0" max="4" min="4" style="0" width="20.14"/>
    <col collapsed="false" customWidth="true" hidden="false" outlineLevel="0" max="5" min="5" style="0" width="14.16"/>
  </cols>
  <sheetData>
    <row r="1" s="1" customFormat="true" ht="12.8" hidden="false" customHeight="false" outlineLevel="0" collapsed="false">
      <c r="A1" s="28" t="s">
        <v>89</v>
      </c>
      <c r="B1" s="28" t="s">
        <v>114</v>
      </c>
      <c r="C1" s="28" t="s">
        <v>85</v>
      </c>
      <c r="D1" s="29" t="s">
        <v>115</v>
      </c>
      <c r="E1" s="29" t="s">
        <v>116</v>
      </c>
      <c r="F1" s="29" t="s">
        <v>117</v>
      </c>
      <c r="G1" s="29" t="s">
        <v>118</v>
      </c>
      <c r="H1" s="29" t="s">
        <v>119</v>
      </c>
      <c r="I1" s="29" t="s">
        <v>120</v>
      </c>
      <c r="J1" s="29" t="s">
        <v>107</v>
      </c>
      <c r="K1" s="29" t="s">
        <v>108</v>
      </c>
    </row>
    <row r="2" customFormat="false" ht="12.8" hidden="false" customHeight="false" outlineLevel="0" collapsed="false">
      <c r="A2" s="1" t="n">
        <v>1008</v>
      </c>
      <c r="B2" s="1" t="n">
        <v>0</v>
      </c>
      <c r="C2" s="1" t="n">
        <v>0</v>
      </c>
      <c r="D2" s="1"/>
      <c r="E2" s="1" t="n">
        <v>196534</v>
      </c>
      <c r="F2" s="1"/>
      <c r="G2" s="1"/>
      <c r="H2" s="1"/>
      <c r="I2" s="1"/>
      <c r="J2" s="1" t="s">
        <v>121</v>
      </c>
      <c r="K2" s="1" t="s">
        <v>122</v>
      </c>
      <c r="L2" s="1"/>
    </row>
    <row r="3" customFormat="false" ht="12.8" hidden="false" customHeight="false" outlineLevel="0" collapsed="false">
      <c r="A3" s="1" t="n">
        <v>1007</v>
      </c>
      <c r="B3" s="1" t="n">
        <v>457619</v>
      </c>
      <c r="C3" s="1"/>
      <c r="D3" s="1" t="n">
        <v>-11</v>
      </c>
      <c r="E3" s="1"/>
      <c r="F3" s="1"/>
      <c r="G3" s="1"/>
      <c r="H3" s="1"/>
      <c r="I3" s="1"/>
      <c r="J3" s="1" t="s">
        <v>123</v>
      </c>
      <c r="K3" s="1" t="s">
        <v>124</v>
      </c>
      <c r="L3" s="1"/>
    </row>
    <row r="4" customFormat="false" ht="12.8" hidden="false" customHeight="false" outlineLevel="0" collapsed="false">
      <c r="A4" s="1" t="n">
        <v>100</v>
      </c>
      <c r="B4" s="1" t="n">
        <v>636053</v>
      </c>
      <c r="C4" s="1"/>
      <c r="D4" s="1" t="n">
        <v>-11</v>
      </c>
      <c r="E4" s="1"/>
      <c r="F4" s="1"/>
      <c r="G4" s="1"/>
      <c r="H4" s="1"/>
      <c r="I4" s="1"/>
      <c r="J4" s="1" t="s">
        <v>125</v>
      </c>
      <c r="K4" s="1" t="s">
        <v>126</v>
      </c>
      <c r="L4" s="1"/>
    </row>
    <row r="5" customFormat="false" ht="12.8" hidden="false" customHeight="false" outlineLevel="0" collapsed="false">
      <c r="A5" s="1" t="n">
        <v>101</v>
      </c>
      <c r="B5" s="1" t="n">
        <v>355217</v>
      </c>
      <c r="C5" s="1"/>
      <c r="D5" s="1" t="n">
        <v>-11</v>
      </c>
      <c r="E5" s="1"/>
      <c r="F5" s="1"/>
      <c r="G5" s="1"/>
      <c r="H5" s="1"/>
      <c r="I5" s="1"/>
      <c r="J5" s="1" t="s">
        <v>127</v>
      </c>
      <c r="K5" s="1" t="s">
        <v>128</v>
      </c>
      <c r="L5" s="1"/>
    </row>
    <row r="6" customFormat="false" ht="12.8" hidden="false" customHeight="false" outlineLevel="0" collapsed="false">
      <c r="A6" s="1" t="n">
        <v>102</v>
      </c>
      <c r="B6" s="1" t="n">
        <v>623634</v>
      </c>
      <c r="C6" s="1"/>
      <c r="D6" s="1" t="n">
        <v>-11</v>
      </c>
      <c r="E6" s="1"/>
      <c r="F6" s="1"/>
      <c r="G6" s="1"/>
      <c r="H6" s="1"/>
      <c r="I6" s="1"/>
      <c r="J6" s="1" t="s">
        <v>129</v>
      </c>
      <c r="K6" s="1" t="s">
        <v>130</v>
      </c>
      <c r="L6" s="1"/>
    </row>
    <row r="7" customFormat="false" ht="12.8" hidden="false" customHeight="false" outlineLevel="0" collapsed="false">
      <c r="A7" s="1" t="n">
        <v>1003</v>
      </c>
      <c r="B7" s="1" t="n">
        <v>653188</v>
      </c>
      <c r="C7" s="1"/>
      <c r="D7" s="1" t="n">
        <v>-11</v>
      </c>
      <c r="E7" s="1" t="n">
        <v>978190</v>
      </c>
      <c r="F7" s="1"/>
      <c r="G7" s="1"/>
      <c r="H7" s="1"/>
      <c r="I7" s="1"/>
      <c r="J7" s="1" t="s">
        <v>131</v>
      </c>
      <c r="K7" s="1" t="s">
        <v>132</v>
      </c>
      <c r="L7" s="1"/>
    </row>
    <row r="8" customFormat="false" ht="12.8" hidden="false" customHeight="false" outlineLevel="0" collapsed="false">
      <c r="A8" s="1" t="n">
        <v>1004</v>
      </c>
      <c r="B8" s="1"/>
      <c r="C8" s="1"/>
      <c r="D8" s="1"/>
      <c r="E8" s="1"/>
      <c r="F8" s="1"/>
      <c r="G8" s="1"/>
      <c r="H8" s="1"/>
      <c r="I8" s="1"/>
      <c r="J8" s="1" t="s">
        <v>133</v>
      </c>
      <c r="K8" s="1" t="s">
        <v>134</v>
      </c>
      <c r="L8" s="1"/>
    </row>
    <row r="9" customFormat="false" ht="12.8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customFormat="false" ht="12.8" hidden="false" customHeight="false" outlineLevel="0" collapsed="false">
      <c r="A10" s="32" t="s">
        <v>135</v>
      </c>
      <c r="B10" s="1" t="n">
        <f aca="false">SUM(B3:B7)</f>
        <v>2725711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 t="s">
        <v>136</v>
      </c>
      <c r="B11" s="1" t="n">
        <v>55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customFormat="false" ht="12.8" hidden="false" customHeight="false" outlineLevel="0" collapsed="false">
      <c r="A12" s="1" t="s">
        <v>137</v>
      </c>
      <c r="B12" s="1" t="n">
        <v>-11</v>
      </c>
      <c r="C12" s="1"/>
      <c r="D12" s="1"/>
      <c r="E12" s="1"/>
      <c r="F12" s="1"/>
      <c r="G12" s="1"/>
      <c r="H12" s="1"/>
      <c r="I12" s="1"/>
      <c r="J12" s="1"/>
      <c r="K12" s="1"/>
      <c r="L12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2026-04-13T16:54:15Z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