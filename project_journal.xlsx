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Journal" sheetId="1" state="visible" r:id="rId2"/>
    <sheet name="PotenotTask test data" sheetId="2" state="visible" r:id="rId3"/>
    <sheet name="InverseTask test data" sheetId="3" state="visible" r:id="rId4"/>
    <sheet name="Survey test data" sheetId="4" state="visible" r:id="rId5"/>
    <sheet name="Polygon test data" sheetId="5" state="visible" r:id="rId6"/>
    <sheet name="DirectCalculatorTest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<sst xmlns="http://schemas.openxmlformats.org/spreadsheetml/2006/main" count="327" uniqueCount="149">
  <si>
    <t xml:space="preserve">Краткое описание выполненной работы</t>
  </si>
  <si>
    <t xml:space="preserve">Дата</t>
  </si>
  <si>
    <t xml:space="preserve">Затраченное время</t>
  </si>
  <si>
    <t xml:space="preserve">Название компонента</t>
  </si>
  <si>
    <t xml:space="preserve">Общее время по компоненту</t>
  </si>
  <si>
    <t xml:space="preserve">Разработка web-сервиса geocalculator_service</t>
  </si>
  <si>
    <t xml:space="preserve">Разработка сервиса для решения прямой геодезической задачи</t>
  </si>
  <si>
    <t xml:space="preserve">DirectTaskService</t>
  </si>
  <si>
    <t xml:space="preserve">Разработка сервиса для решения обратной геодезической задачи</t>
  </si>
  <si>
    <t xml:space="preserve">InverseTaskService</t>
  </si>
  <si>
    <t xml:space="preserve">Разработка сервиса для решения обратной геодезической засечки</t>
  </si>
  <si>
    <t xml:space="preserve">PotenotTaskService</t>
  </si>
  <si>
    <t xml:space="preserve">Оптимизация слоя DTO</t>
  </si>
  <si>
    <t xml:space="preserve">all tasks</t>
  </si>
  <si>
    <t xml:space="preserve">Разработка тестов для PotenotCalculatorImpl</t>
  </si>
  <si>
    <t xml:space="preserve">Разработка тестов для PotenotTaskMapperImpl</t>
  </si>
  <si>
    <t xml:space="preserve">Разработка тестов для слоя servise</t>
  </si>
  <si>
    <t xml:space="preserve">Разработка сквозных тестов для слоя controller</t>
  </si>
  <si>
    <t xml:space="preserve">Разработка swagger документации для API</t>
  </si>
  <si>
    <t xml:space="preserve">Расширение DirectTaskController</t>
  </si>
  <si>
    <t xml:space="preserve">DirectTask*</t>
  </si>
  <si>
    <t xml:space="preserve">Разработка тестов для DirectTaskController.getDirectTaskFullResponse</t>
  </si>
  <si>
    <t xml:space="preserve">DirectTaskControllerTest</t>
  </si>
  <si>
    <t xml:space="preserve">Внедрение InverseTaskFullResponse, разработка тестов для InverseTask*</t>
  </si>
  <si>
    <t xml:space="preserve">InverseTask*</t>
  </si>
  <si>
    <t xml:space="preserve">UiController, DataHandler, внедрение в проект thymeleaf</t>
  </si>
  <si>
    <t xml:space="preserve">UIController, DataHandler</t>
  </si>
  <si>
    <t xml:space="preserve">DataMapper, Validator, InverseStringResponse, InverseStringRequest, тесты</t>
  </si>
  <si>
    <t xml:space="preserve">UiController, InverseServiceImplTest</t>
  </si>
  <si>
    <t xml:space="preserve">Validator, ValidatorDefaultTest. Dockerfile, docker-compose.yaml</t>
  </si>
  <si>
    <t xml:space="preserve">Validator, ValidatorDefaultTest</t>
  </si>
  <si>
    <t xml:space="preserve">DirectStringRequest, DirectStringResponse</t>
  </si>
  <si>
    <t xml:space="preserve">Разработка тестов DirectTaskServiceImpIntegrationTest</t>
  </si>
  <si>
    <t xml:space="preserve">PotenotStringRequest, PotenotStringResponse. Расширение PotenotTaskMapper</t>
  </si>
  <si>
    <t xml:space="preserve">PotenotTask*</t>
  </si>
  <si>
    <t xml:space="preserve">PotenotServiseImplIntegrationtrest, ручное тестирование geocalculator/potenot</t>
  </si>
  <si>
    <t xml:space="preserve">InverseValidator, DirectValidator, PotenotValidator разработка и тесты</t>
  </si>
  <si>
    <t xml:space="preserve">Validator</t>
  </si>
  <si>
    <t xml:space="preserve">UiController: внедрена валидация и протестированы postman все end-points</t>
  </si>
  <si>
    <t xml:space="preserve">Uicontroller</t>
  </si>
  <si>
    <t xml:space="preserve">Работа над макетами views</t>
  </si>
  <si>
    <t xml:space="preserve">tamplates/*</t>
  </si>
  <si>
    <t xml:space="preserve">Сумма</t>
  </si>
  <si>
    <t xml:space="preserve">Разработка web-сервиса geocalculator_web</t>
  </si>
  <si>
    <t xml:space="preserve">Разработка каркаса API для сервиса</t>
  </si>
  <si>
    <t xml:space="preserve">3009.2024</t>
  </si>
  <si>
    <t xml:space="preserve">geocalculator_web</t>
  </si>
  <si>
    <t xml:space="preserve">Разработка InverseTask</t>
  </si>
  <si>
    <t xml:space="preserve">Разработка макета страницы inverse.html</t>
  </si>
  <si>
    <t xml:space="preserve">inverse.html</t>
  </si>
  <si>
    <t xml:space="preserve">Name</t>
  </si>
  <si>
    <t xml:space="preserve">firstX</t>
  </si>
  <si>
    <t xml:space="preserve">firstY</t>
  </si>
  <si>
    <t xml:space="preserve">firstDirection</t>
  </si>
  <si>
    <t xml:space="preserve">in seconds</t>
  </si>
  <si>
    <t xml:space="preserve">secondX</t>
  </si>
  <si>
    <t xml:space="preserve">secondY</t>
  </si>
  <si>
    <t xml:space="preserve">secondDirection</t>
  </si>
  <si>
    <t xml:space="preserve">thirdX</t>
  </si>
  <si>
    <t xml:space="preserve">thirdY</t>
  </si>
  <si>
    <t xml:space="preserve">thirdDirection</t>
  </si>
  <si>
    <t xml:space="preserve">firstAngle</t>
  </si>
  <si>
    <t xml:space="preserve">dms</t>
  </si>
  <si>
    <t xml:space="preserve">secondAngle</t>
  </si>
  <si>
    <t xml:space="preserve">dY</t>
  </si>
  <si>
    <t xml:space="preserve">dX</t>
  </si>
  <si>
    <t xml:space="preserve">firstDirAngle</t>
  </si>
  <si>
    <t xml:space="preserve">rad</t>
  </si>
  <si>
    <t xml:space="preserve">secondDirAngle</t>
  </si>
  <si>
    <t xml:space="preserve">thirdDirAngle</t>
  </si>
  <si>
    <t xml:space="preserve">targetX</t>
  </si>
  <si>
    <t xml:space="preserve">targetY</t>
  </si>
  <si>
    <t xml:space="preserve">deltaX</t>
  </si>
  <si>
    <t xml:space="preserve">deltaY</t>
  </si>
  <si>
    <t xml:space="preserve">target1</t>
  </si>
  <si>
    <t xml:space="preserve">target2</t>
  </si>
  <si>
    <t xml:space="preserve">target3</t>
  </si>
  <si>
    <t xml:space="preserve">target4</t>
  </si>
  <si>
    <t xml:space="preserve">expect</t>
  </si>
  <si>
    <t xml:space="preserve">baseX</t>
  </si>
  <si>
    <t xml:space="preserve">baseY</t>
  </si>
  <si>
    <t xml:space="preserve">baseZ</t>
  </si>
  <si>
    <t xml:space="preserve">targerX</t>
  </si>
  <si>
    <t xml:space="preserve">targetZ</t>
  </si>
  <si>
    <t xml:space="preserve">direction</t>
  </si>
  <si>
    <t xml:space="preserve">horDistance</t>
  </si>
  <si>
    <t xml:space="preserve">InclinedDistance</t>
  </si>
  <si>
    <t xml:space="preserve">TiltAngle</t>
  </si>
  <si>
    <t xml:space="preserve">Elevation</t>
  </si>
  <si>
    <t xml:space="preserve">stationName</t>
  </si>
  <si>
    <t xml:space="preserve">stationX</t>
  </si>
  <si>
    <t xml:space="preserve">stationY</t>
  </si>
  <si>
    <t xml:space="preserve">stationZ</t>
  </si>
  <si>
    <t xml:space="preserve">stationHeight</t>
  </si>
  <si>
    <t xml:space="preserve">orDirection</t>
  </si>
  <si>
    <t xml:space="preserve">orName</t>
  </si>
  <si>
    <t xml:space="preserve">orX</t>
  </si>
  <si>
    <t xml:space="preserve">orY</t>
  </si>
  <si>
    <t xml:space="preserve">baseDirectionAngle</t>
  </si>
  <si>
    <t xml:space="preserve">targets for 1301</t>
  </si>
  <si>
    <t xml:space="preserve">Direction</t>
  </si>
  <si>
    <t xml:space="preserve">InclinedDIstanse</t>
  </si>
  <si>
    <t xml:space="preserve">Height</t>
  </si>
  <si>
    <t xml:space="preserve">DirectionAngle</t>
  </si>
  <si>
    <t xml:space="preserve">DeltaX</t>
  </si>
  <si>
    <t xml:space="preserve">DeltaY</t>
  </si>
  <si>
    <t xml:space="preserve">DeltaZ</t>
  </si>
  <si>
    <t xml:space="preserve">X</t>
  </si>
  <si>
    <t xml:space="preserve">Y</t>
  </si>
  <si>
    <t xml:space="preserve">Z</t>
  </si>
  <si>
    <t xml:space="preserve">T100</t>
  </si>
  <si>
    <t xml:space="preserve">Test</t>
  </si>
  <si>
    <t xml:space="preserve">targets for 100</t>
  </si>
  <si>
    <t xml:space="preserve">targets for 101</t>
  </si>
  <si>
    <t xml:space="preserve">TT</t>
  </si>
  <si>
    <t xml:space="preserve">horAngle</t>
  </si>
  <si>
    <t xml:space="preserve">correctionHorAngle</t>
  </si>
  <si>
    <t xml:space="preserve">directionAngle</t>
  </si>
  <si>
    <t xml:space="preserve">DX</t>
  </si>
  <si>
    <t xml:space="preserve">corrX</t>
  </si>
  <si>
    <t xml:space="preserve">DY</t>
  </si>
  <si>
    <t xml:space="preserve">corrY</t>
  </si>
  <si>
    <t xml:space="preserve">DZ</t>
  </si>
  <si>
    <t xml:space="preserve">corrZ</t>
  </si>
  <si>
    <t xml:space="preserve">∑ = </t>
  </si>
  <si>
    <t xml:space="preserve">Fhor = </t>
  </si>
  <si>
    <t xml:space="preserve">CorrHor =</t>
  </si>
  <si>
    <t xml:space="preserve">FX = </t>
  </si>
  <si>
    <t xml:space="preserve">FY = </t>
  </si>
  <si>
    <t xml:space="preserve">Perimeter = </t>
  </si>
  <si>
    <t xml:space="preserve">Fabs = </t>
  </si>
  <si>
    <t xml:space="preserve">Fotn = </t>
  </si>
  <si>
    <t xml:space="preserve">1:11228</t>
  </si>
  <si>
    <t xml:space="preserve">Fh = </t>
  </si>
  <si>
    <t xml:space="preserve">RatioZ = </t>
  </si>
  <si>
    <t xml:space="preserve">TO</t>
  </si>
  <si>
    <t xml:space="preserve">1:7244</t>
  </si>
  <si>
    <t xml:space="preserve">OT</t>
  </si>
  <si>
    <t xml:space="preserve">1:4990</t>
  </si>
  <si>
    <t xml:space="preserve">TZ</t>
  </si>
  <si>
    <t xml:space="preserve">«»</t>
  </si>
  <si>
    <t xml:space="preserve">ZT</t>
  </si>
  <si>
    <t xml:space="preserve">OO</t>
  </si>
  <si>
    <t xml:space="preserve">1:2994</t>
  </si>
  <si>
    <t xml:space="preserve">.getHorDistance</t>
  </si>
  <si>
    <t xml:space="preserve">inclinedDistance, mm</t>
  </si>
  <si>
    <t xml:space="preserve">TiltAngle, dms</t>
  </si>
  <si>
    <t xml:space="preserve">tiltAngle, sek</t>
  </si>
  <si>
    <t xml:space="preserve">horDistanse, mm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</si>
</sst>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hh:mm"/>
    <numFmt numFmtId="168" formatCode="dd/mm/yy"/>
    <numFmt numFmtId="169" formatCode="[hh]:mm:ss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i val="true"/>
      <sz val="10"/>
      <color rgb="FF00B050"/>
      <name val="Arial"/>
      <family val="2"/>
      <charset val="204"/>
    </font>
    <font>
      <b val="true"/>
      <i val="true"/>
      <sz val="11"/>
      <color rgb="FF00B050"/>
      <name val="Arial"/>
      <family val="2"/>
      <charset val="204"/>
    </font>
    <font>
      <b val="true"/>
      <i val="true"/>
      <sz val="11"/>
      <color rgb="FF7030A0"/>
      <name val="Arial"/>
      <family val="2"/>
      <charset val="204"/>
    </font>
    <font>
      <b val="true"/>
      <i val="true"/>
      <sz val="11"/>
      <color rgb="FFFF0000"/>
      <name val="Arial"/>
      <family val="2"/>
      <charset val="204"/>
    </font>
    <font>
      <sz val="12"/>
      <color rgb="FF2AACB8"/>
      <name val="Arial"/>
      <family val="2"/>
      <charset val="1"/>
    </font>
    <font>
      <b val="true"/>
      <i val="true"/>
      <sz val="10"/>
      <color rgb="FF00A933"/>
      <name val="Arial"/>
      <family val="2"/>
      <charset val="1"/>
    </font>
    <font>
      <b val="true"/>
      <i val="true"/>
      <sz val="10"/>
      <color rgb="FF800080"/>
      <name val="Arial"/>
      <family val="2"/>
      <charset val="1"/>
    </font>
    <font>
      <sz val="10"/>
      <color rgb="FF00A933"/>
      <name val="Arial"/>
      <family val="2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81D41A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  <fill>
      <patternFill patternType="solid">
        <fgColor rgb="FFDDDDDD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2AACB8"/>
      <rgbColor rgb="FF81D41A"/>
      <rgbColor rgb="FFFFCC00"/>
      <rgbColor rgb="FFFF9900"/>
      <rgbColor rgb="FFFF6600"/>
      <rgbColor rgb="FF666699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D30" activeCellId="0" sqref="D30"/>
    </sheetView>
  </sheetViews>
  <sheetFormatPr defaultColWidth="12.2734375" defaultRowHeight="12.8" zeroHeight="false" outlineLevelRow="0" outlineLevelCol="0"/>
  <cols>
    <col collapsed="false" customWidth="true" hidden="false" outlineLevel="0" max="1" min="1" style="0" width="75.62"/>
    <col collapsed="false" customWidth="true" hidden="false" outlineLevel="0" max="3" min="2" style="1" width="20.86"/>
    <col collapsed="false" customWidth="true" hidden="false" outlineLevel="0" max="4" min="4" style="1" width="35.33"/>
    <col collapsed="false" customWidth="true" hidden="false" outlineLevel="0" max="5" min="5" style="0" width="26.29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12.8" hidden="false" customHeight="false" outlineLevel="0" collapsed="false">
      <c r="A2" s="4" t="s">
        <v>5</v>
      </c>
      <c r="B2" s="4"/>
      <c r="C2" s="4"/>
      <c r="D2" s="4"/>
      <c r="E2" s="4"/>
    </row>
    <row r="3" customFormat="false" ht="12.8" hidden="false" customHeight="false" outlineLevel="0" collapsed="false">
      <c r="A3" s="5" t="s">
        <v>6</v>
      </c>
      <c r="B3" s="6"/>
      <c r="C3" s="7" t="n">
        <v>0.201388888888889</v>
      </c>
      <c r="D3" s="8" t="s">
        <v>7</v>
      </c>
      <c r="E3" s="9" t="n">
        <f aca="false">C3</f>
        <v>0.201388888888889</v>
      </c>
    </row>
    <row r="4" customFormat="false" ht="12.8" hidden="false" customHeight="false" outlineLevel="0" collapsed="false">
      <c r="A4" s="5" t="s">
        <v>8</v>
      </c>
      <c r="B4" s="10"/>
      <c r="C4" s="7" t="n">
        <v>0.375</v>
      </c>
      <c r="D4" s="8" t="s">
        <v>9</v>
      </c>
      <c r="E4" s="9" t="n">
        <f aca="false">C4</f>
        <v>0.375</v>
      </c>
    </row>
    <row r="5" customFormat="false" ht="12.8" hidden="false" customHeight="false" outlineLevel="0" collapsed="false">
      <c r="A5" s="5" t="s">
        <v>10</v>
      </c>
      <c r="B5" s="10"/>
      <c r="C5" s="7" t="n">
        <v>0.128472222222222</v>
      </c>
      <c r="D5" s="8" t="s">
        <v>11</v>
      </c>
      <c r="E5" s="5"/>
    </row>
    <row r="6" customFormat="false" ht="12.8" hidden="false" customHeight="false" outlineLevel="0" collapsed="false">
      <c r="A6" s="5" t="s">
        <v>12</v>
      </c>
      <c r="B6" s="6"/>
      <c r="C6" s="7" t="n">
        <v>0.0277777777777778</v>
      </c>
      <c r="D6" s="8" t="s">
        <v>13</v>
      </c>
      <c r="E6" s="5"/>
    </row>
    <row r="7" customFormat="false" ht="12.8" hidden="false" customHeight="false" outlineLevel="0" collapsed="false">
      <c r="A7" s="5" t="s">
        <v>14</v>
      </c>
      <c r="B7" s="6" t="n">
        <v>45544</v>
      </c>
      <c r="C7" s="7" t="n">
        <v>0.163194444444444</v>
      </c>
      <c r="D7" s="8" t="s">
        <v>11</v>
      </c>
      <c r="E7" s="5"/>
    </row>
    <row r="8" customFormat="false" ht="12.8" hidden="false" customHeight="false" outlineLevel="0" collapsed="false">
      <c r="A8" s="5" t="s">
        <v>14</v>
      </c>
      <c r="B8" s="6" t="n">
        <v>45544</v>
      </c>
      <c r="C8" s="7" t="n">
        <v>0.0833333333333333</v>
      </c>
      <c r="D8" s="8" t="s">
        <v>11</v>
      </c>
      <c r="E8" s="5"/>
    </row>
    <row r="9" customFormat="false" ht="12.8" hidden="false" customHeight="false" outlineLevel="0" collapsed="false">
      <c r="A9" s="5" t="s">
        <v>14</v>
      </c>
      <c r="B9" s="6" t="n">
        <v>45547</v>
      </c>
      <c r="C9" s="7" t="n">
        <v>0.0590277777777778</v>
      </c>
      <c r="D9" s="8" t="s">
        <v>11</v>
      </c>
      <c r="E9" s="5"/>
    </row>
    <row r="10" customFormat="false" ht="12.8" hidden="false" customHeight="false" outlineLevel="0" collapsed="false">
      <c r="A10" s="5" t="s">
        <v>14</v>
      </c>
      <c r="B10" s="6" t="n">
        <v>45548</v>
      </c>
      <c r="C10" s="7" t="n">
        <v>0.0138888888888889</v>
      </c>
      <c r="D10" s="8" t="s">
        <v>11</v>
      </c>
      <c r="E10" s="5"/>
    </row>
    <row r="11" customFormat="false" ht="12.8" hidden="false" customHeight="false" outlineLevel="0" collapsed="false">
      <c r="A11" s="5" t="s">
        <v>15</v>
      </c>
      <c r="B11" s="6" t="n">
        <v>45551</v>
      </c>
      <c r="C11" s="7" t="n">
        <v>0.03125</v>
      </c>
      <c r="D11" s="8" t="s">
        <v>11</v>
      </c>
      <c r="E11" s="5"/>
    </row>
    <row r="12" customFormat="false" ht="12.8" hidden="false" customHeight="false" outlineLevel="0" collapsed="false">
      <c r="A12" s="5" t="s">
        <v>16</v>
      </c>
      <c r="B12" s="6" t="n">
        <v>45551</v>
      </c>
      <c r="C12" s="7" t="n">
        <v>0.0416666666666667</v>
      </c>
      <c r="D12" s="8" t="s">
        <v>13</v>
      </c>
      <c r="E12" s="5"/>
    </row>
    <row r="13" customFormat="false" ht="12.8" hidden="false" customHeight="false" outlineLevel="0" collapsed="false">
      <c r="A13" s="5" t="s">
        <v>17</v>
      </c>
      <c r="B13" s="6" t="n">
        <v>45553</v>
      </c>
      <c r="C13" s="7" t="n">
        <v>0.0486111111111111</v>
      </c>
      <c r="D13" s="8" t="s">
        <v>9</v>
      </c>
      <c r="E13" s="5"/>
    </row>
    <row r="14" customFormat="false" ht="12.8" hidden="false" customHeight="false" outlineLevel="0" collapsed="false">
      <c r="A14" s="5" t="s">
        <v>17</v>
      </c>
      <c r="B14" s="6" t="n">
        <v>45554</v>
      </c>
      <c r="C14" s="7" t="n">
        <v>0.0381944444444444</v>
      </c>
      <c r="D14" s="8" t="s">
        <v>7</v>
      </c>
      <c r="E14" s="5"/>
    </row>
    <row r="15" customFormat="false" ht="12.8" hidden="false" customHeight="false" outlineLevel="0" collapsed="false">
      <c r="A15" s="5" t="s">
        <v>17</v>
      </c>
      <c r="B15" s="6" t="n">
        <v>45555</v>
      </c>
      <c r="C15" s="7" t="n">
        <v>0.0243055555555556</v>
      </c>
      <c r="D15" s="8" t="s">
        <v>11</v>
      </c>
      <c r="E15" s="5"/>
    </row>
    <row r="16" customFormat="false" ht="12.8" hidden="false" customHeight="false" outlineLevel="0" collapsed="false">
      <c r="A16" s="5" t="s">
        <v>18</v>
      </c>
      <c r="B16" s="6" t="n">
        <v>45559</v>
      </c>
      <c r="C16" s="7" t="n">
        <v>0.0590277777777778</v>
      </c>
      <c r="D16" s="8" t="s">
        <v>13</v>
      </c>
      <c r="E16" s="5"/>
    </row>
    <row r="17" customFormat="false" ht="12.8" hidden="false" customHeight="false" outlineLevel="0" collapsed="false">
      <c r="A17" s="5" t="s">
        <v>19</v>
      </c>
      <c r="B17" s="6" t="n">
        <v>45667</v>
      </c>
      <c r="C17" s="7" t="n">
        <v>0.0520833333333333</v>
      </c>
      <c r="D17" s="8" t="s">
        <v>20</v>
      </c>
      <c r="E17" s="5"/>
    </row>
    <row r="18" customFormat="false" ht="12.8" hidden="false" customHeight="false" outlineLevel="0" collapsed="false">
      <c r="A18" s="5" t="s">
        <v>21</v>
      </c>
      <c r="B18" s="6" t="n">
        <v>45670</v>
      </c>
      <c r="C18" s="7" t="n">
        <v>0.0555555555555556</v>
      </c>
      <c r="D18" s="8" t="s">
        <v>22</v>
      </c>
      <c r="E18" s="5"/>
    </row>
    <row r="19" customFormat="false" ht="12.8" hidden="false" customHeight="false" outlineLevel="0" collapsed="false">
      <c r="A19" s="5" t="s">
        <v>23</v>
      </c>
      <c r="B19" s="6" t="n">
        <v>45678</v>
      </c>
      <c r="C19" s="7" t="n">
        <v>0.0486111111111111</v>
      </c>
      <c r="D19" s="8" t="s">
        <v>24</v>
      </c>
      <c r="E19" s="5"/>
    </row>
    <row r="20" customFormat="false" ht="12.8" hidden="false" customHeight="false" outlineLevel="0" collapsed="false">
      <c r="A20" s="5" t="s">
        <v>25</v>
      </c>
      <c r="B20" s="6" t="n">
        <v>45681</v>
      </c>
      <c r="C20" s="7" t="n">
        <v>0.09375</v>
      </c>
      <c r="D20" s="8" t="s">
        <v>26</v>
      </c>
      <c r="E20" s="5"/>
    </row>
    <row r="21" customFormat="false" ht="12.8" hidden="false" customHeight="false" outlineLevel="0" collapsed="false">
      <c r="A21" s="5" t="s">
        <v>27</v>
      </c>
      <c r="B21" s="6" t="n">
        <v>45684</v>
      </c>
      <c r="C21" s="7" t="n">
        <v>0.125</v>
      </c>
      <c r="D21" s="8" t="s">
        <v>28</v>
      </c>
      <c r="E21" s="5"/>
    </row>
    <row r="22" customFormat="false" ht="12.8" hidden="false" customHeight="false" outlineLevel="0" collapsed="false">
      <c r="A22" s="5" t="s">
        <v>29</v>
      </c>
      <c r="B22" s="6" t="n">
        <v>45685</v>
      </c>
      <c r="C22" s="7" t="n">
        <v>0.0451388888888889</v>
      </c>
      <c r="D22" s="8" t="s">
        <v>30</v>
      </c>
      <c r="E22" s="5"/>
    </row>
    <row r="23" customFormat="false" ht="12.8" hidden="false" customHeight="false" outlineLevel="0" collapsed="false">
      <c r="A23" s="5" t="s">
        <v>31</v>
      </c>
      <c r="B23" s="6" t="n">
        <v>45688</v>
      </c>
      <c r="C23" s="7" t="n">
        <v>0.0763888888888889</v>
      </c>
      <c r="D23" s="8" t="s">
        <v>20</v>
      </c>
      <c r="E23" s="5"/>
    </row>
    <row r="24" customFormat="false" ht="12.8" hidden="false" customHeight="false" outlineLevel="0" collapsed="false">
      <c r="A24" s="5" t="s">
        <v>32</v>
      </c>
      <c r="B24" s="6" t="n">
        <v>45691</v>
      </c>
      <c r="C24" s="7" t="n">
        <v>0.0763888888888889</v>
      </c>
      <c r="D24" s="8" t="s">
        <v>20</v>
      </c>
      <c r="E24" s="5"/>
    </row>
    <row r="25" customFormat="false" ht="12.8" hidden="false" customHeight="false" outlineLevel="0" collapsed="false">
      <c r="A25" s="5" t="s">
        <v>33</v>
      </c>
      <c r="B25" s="6" t="n">
        <v>45691</v>
      </c>
      <c r="C25" s="7" t="n">
        <v>0.0902777777777778</v>
      </c>
      <c r="D25" s="8" t="s">
        <v>34</v>
      </c>
      <c r="E25" s="5"/>
    </row>
    <row r="26" customFormat="false" ht="12.8" hidden="false" customHeight="false" outlineLevel="0" collapsed="false">
      <c r="A26" s="5" t="s">
        <v>35</v>
      </c>
      <c r="B26" s="6" t="n">
        <v>45693</v>
      </c>
      <c r="C26" s="7" t="n">
        <v>0.0520833333333333</v>
      </c>
      <c r="D26" s="8" t="s">
        <v>34</v>
      </c>
      <c r="E26" s="5"/>
    </row>
    <row r="27" customFormat="false" ht="12.8" hidden="false" customHeight="false" outlineLevel="0" collapsed="false">
      <c r="A27" s="5" t="s">
        <v>36</v>
      </c>
      <c r="B27" s="6" t="n">
        <v>45694</v>
      </c>
      <c r="C27" s="7" t="n">
        <v>0.0972222222222222</v>
      </c>
      <c r="D27" s="8" t="s">
        <v>37</v>
      </c>
      <c r="E27" s="5"/>
    </row>
    <row r="28" customFormat="false" ht="12.8" hidden="false" customHeight="false" outlineLevel="0" collapsed="false">
      <c r="A28" s="5" t="s">
        <v>38</v>
      </c>
      <c r="B28" s="6" t="n">
        <v>45695</v>
      </c>
      <c r="C28" s="7" t="n">
        <v>0.118055555555556</v>
      </c>
      <c r="D28" s="8" t="s">
        <v>39</v>
      </c>
      <c r="E28" s="5"/>
    </row>
    <row r="29" customFormat="false" ht="12.8" hidden="false" customHeight="false" outlineLevel="0" collapsed="false">
      <c r="A29" s="5" t="s">
        <v>40</v>
      </c>
      <c r="B29" s="6" t="n">
        <v>45698</v>
      </c>
      <c r="C29" s="7" t="n">
        <v>0.0208333333333333</v>
      </c>
      <c r="D29" s="8" t="s">
        <v>41</v>
      </c>
      <c r="E29" s="5"/>
    </row>
    <row r="30" customFormat="false" ht="12.8" hidden="false" customHeight="false" outlineLevel="0" collapsed="false">
      <c r="A30" s="5"/>
      <c r="B30" s="6"/>
      <c r="C30" s="7"/>
      <c r="D30" s="8"/>
      <c r="E30" s="5"/>
    </row>
    <row r="31" customFormat="false" ht="12.8" hidden="false" customHeight="false" outlineLevel="0" collapsed="false">
      <c r="A31" s="11" t="s">
        <v>42</v>
      </c>
      <c r="B31" s="12"/>
      <c r="C31" s="13" t="n">
        <f aca="false">SUM(C3:C24)</f>
        <v>1.86805555555556</v>
      </c>
      <c r="D31" s="14"/>
      <c r="E31" s="11"/>
    </row>
    <row r="32" customFormat="false" ht="12.8" hidden="false" customHeight="false" outlineLevel="0" collapsed="false">
      <c r="A32" s="5"/>
      <c r="B32" s="6"/>
      <c r="C32" s="7"/>
      <c r="D32" s="8"/>
      <c r="E32" s="5"/>
    </row>
    <row r="33" customFormat="false" ht="12.8" hidden="false" customHeight="false" outlineLevel="0" collapsed="false">
      <c r="A33" s="5"/>
      <c r="B33" s="6"/>
      <c r="C33" s="7"/>
      <c r="D33" s="8"/>
      <c r="E33" s="5"/>
    </row>
    <row r="34" customFormat="false" ht="12.8" hidden="false" customHeight="false" outlineLevel="0" collapsed="false">
      <c r="A34" s="15" t="s">
        <v>43</v>
      </c>
      <c r="B34" s="15"/>
      <c r="C34" s="15"/>
      <c r="D34" s="15"/>
      <c r="E34" s="15"/>
    </row>
    <row r="35" customFormat="false" ht="12.8" hidden="false" customHeight="false" outlineLevel="0" collapsed="false">
      <c r="A35" s="5" t="s">
        <v>44</v>
      </c>
      <c r="B35" s="6" t="s">
        <v>45</v>
      </c>
      <c r="C35" s="7" t="n">
        <v>0.0416666666666667</v>
      </c>
      <c r="D35" s="8" t="s">
        <v>46</v>
      </c>
      <c r="E35" s="5"/>
    </row>
    <row r="36" customFormat="false" ht="12.8" hidden="false" customHeight="false" outlineLevel="0" collapsed="false">
      <c r="A36" s="5" t="s">
        <v>47</v>
      </c>
      <c r="B36" s="16" t="n">
        <v>45678</v>
      </c>
      <c r="C36" s="7" t="n">
        <v>0.0277777777777778</v>
      </c>
      <c r="D36" s="8" t="s">
        <v>46</v>
      </c>
      <c r="E36" s="5"/>
    </row>
    <row r="37" customFormat="false" ht="12.8" hidden="false" customHeight="false" outlineLevel="0" collapsed="false">
      <c r="A37" s="5" t="s">
        <v>48</v>
      </c>
      <c r="B37" s="16" t="n">
        <v>45679</v>
      </c>
      <c r="C37" s="7" t="n">
        <v>0.0381944444444444</v>
      </c>
      <c r="D37" s="8" t="s">
        <v>49</v>
      </c>
      <c r="E37" s="5"/>
    </row>
    <row r="38" customFormat="false" ht="12.8" hidden="false" customHeight="false" outlineLevel="0" collapsed="false">
      <c r="A38" s="5"/>
      <c r="B38" s="8"/>
      <c r="C38" s="7"/>
      <c r="D38" s="8"/>
      <c r="E38" s="5"/>
    </row>
    <row r="39" customFormat="false" ht="12.8" hidden="false" customHeight="false" outlineLevel="0" collapsed="false">
      <c r="A39" s="5"/>
      <c r="B39" s="8"/>
      <c r="C39" s="7"/>
      <c r="D39" s="8"/>
      <c r="E39" s="5"/>
    </row>
    <row r="40" customFormat="false" ht="12.8" hidden="false" customHeight="false" outlineLevel="0" collapsed="false">
      <c r="A40" s="5"/>
      <c r="B40" s="8"/>
      <c r="C40" s="7"/>
      <c r="D40" s="8"/>
      <c r="E40" s="5"/>
    </row>
    <row r="41" customFormat="false" ht="12.8" hidden="false" customHeight="false" outlineLevel="0" collapsed="false">
      <c r="A41" s="5"/>
      <c r="B41" s="8"/>
      <c r="C41" s="7"/>
      <c r="D41" s="8"/>
      <c r="E41" s="5"/>
    </row>
    <row r="42" customFormat="false" ht="12.8" hidden="false" customHeight="false" outlineLevel="0" collapsed="false">
      <c r="A42" s="5"/>
      <c r="B42" s="8"/>
      <c r="C42" s="7"/>
      <c r="D42" s="8"/>
      <c r="E42" s="5"/>
    </row>
    <row r="43" customFormat="false" ht="12.8" hidden="false" customHeight="false" outlineLevel="0" collapsed="false">
      <c r="A43" s="17"/>
      <c r="B43" s="18"/>
      <c r="C43" s="19"/>
      <c r="D43" s="18"/>
      <c r="E43" s="17"/>
    </row>
    <row r="44" customFormat="false" ht="12.8" hidden="false" customHeight="false" outlineLevel="0" collapsed="false">
      <c r="C44" s="20"/>
    </row>
    <row r="45" customFormat="false" ht="12.8" hidden="false" customHeight="false" outlineLevel="0" collapsed="false">
      <c r="C45" s="20"/>
    </row>
    <row r="46" customFormat="false" ht="12.8" hidden="false" customHeight="false" outlineLevel="0" collapsed="false">
      <c r="C46" s="20"/>
    </row>
  </sheetData>
  <mergeCells count="2">
    <mergeCell ref="A2:E2"/>
    <mergeCell ref="A34:E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35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M5" activeCellId="0" sqref="M5"/>
    </sheetView>
  </sheetViews>
  <sheetFormatPr defaultColWidth="9.171875" defaultRowHeight="12.8" zeroHeight="false" outlineLevelRow="0" outlineLevelCol="0"/>
  <cols>
    <col collapsed="false" customWidth="true" hidden="false" outlineLevel="0" max="2" min="2" style="0" width="18.85"/>
    <col collapsed="false" customWidth="true" hidden="false" outlineLevel="0" max="3" min="3" style="0" width="12.71"/>
    <col collapsed="false" customWidth="true" hidden="false" outlineLevel="0" max="4" min="4" style="0" width="15.29"/>
    <col collapsed="false" customWidth="true" hidden="false" outlineLevel="0" max="5" min="5" style="0" width="15.95"/>
    <col collapsed="false" customWidth="true" hidden="false" outlineLevel="0" max="6" min="6" style="0" width="12.14"/>
    <col collapsed="false" customWidth="true" hidden="false" outlineLevel="0" max="7" min="7" style="0" width="9.71"/>
    <col collapsed="false" customWidth="true" hidden="false" outlineLevel="0" max="8" min="8" style="0" width="17.4"/>
    <col collapsed="false" customWidth="true" hidden="false" outlineLevel="0" max="9" min="9" style="0" width="13.75"/>
    <col collapsed="false" customWidth="true" hidden="false" outlineLevel="0" max="11" min="11" style="0" width="10.58"/>
    <col collapsed="false" customWidth="true" hidden="false" outlineLevel="0" max="12" min="12" style="0" width="15.88"/>
    <col collapsed="false" customWidth="true" hidden="false" outlineLevel="0" max="13" min="13" style="0" width="14.16"/>
    <col collapsed="false" customWidth="true" hidden="false" outlineLevel="0" max="14" min="14" style="0" width="13.14"/>
    <col collapsed="false" customWidth="true" hidden="false" outlineLevel="0" max="16" min="15" style="0" width="14.28"/>
    <col collapsed="false" customWidth="true" hidden="false" outlineLevel="0" max="17" min="17" style="0" width="10.85"/>
    <col collapsed="false" customWidth="true" hidden="false" outlineLevel="0" max="20" min="18" style="0" width="17.36"/>
    <col collapsed="false" customWidth="true" hidden="false" outlineLevel="0" max="22" min="21" style="0" width="20.01"/>
    <col collapsed="false" customWidth="true" hidden="false" outlineLevel="0" max="24" min="23" style="0" width="20.42"/>
    <col collapsed="false" customWidth="true" hidden="false" outlineLevel="0" max="25" min="25" style="0" width="13.63"/>
    <col collapsed="false" customWidth="true" hidden="false" outlineLevel="0" max="26" min="26" style="0" width="10.85"/>
    <col collapsed="false" customWidth="true" hidden="false" outlineLevel="0" max="27" min="27" style="0" width="9.71"/>
  </cols>
  <sheetData>
    <row r="1" customFormat="false" ht="13.8" hidden="false" customHeight="false" outlineLevel="0" collapsed="false">
      <c r="A1" s="21" t="s">
        <v>50</v>
      </c>
      <c r="B1" s="22" t="s">
        <v>51</v>
      </c>
      <c r="C1" s="22" t="s">
        <v>52</v>
      </c>
      <c r="D1" s="22" t="s">
        <v>53</v>
      </c>
      <c r="E1" s="22" t="s">
        <v>54</v>
      </c>
      <c r="F1" s="22" t="s">
        <v>55</v>
      </c>
      <c r="G1" s="22" t="s">
        <v>56</v>
      </c>
      <c r="H1" s="22" t="s">
        <v>57</v>
      </c>
      <c r="I1" s="22" t="s">
        <v>54</v>
      </c>
      <c r="J1" s="22" t="s">
        <v>58</v>
      </c>
      <c r="K1" s="22" t="s">
        <v>59</v>
      </c>
      <c r="L1" s="22" t="s">
        <v>60</v>
      </c>
      <c r="M1" s="22" t="s">
        <v>54</v>
      </c>
      <c r="N1" s="23" t="s">
        <v>61</v>
      </c>
      <c r="O1" s="23" t="s">
        <v>62</v>
      </c>
      <c r="P1" s="23" t="s">
        <v>63</v>
      </c>
      <c r="Q1" s="23" t="s">
        <v>62</v>
      </c>
      <c r="R1" s="23" t="s">
        <v>64</v>
      </c>
      <c r="S1" s="23" t="s">
        <v>65</v>
      </c>
      <c r="T1" s="23" t="s">
        <v>66</v>
      </c>
      <c r="U1" s="23" t="s">
        <v>67</v>
      </c>
      <c r="V1" s="23" t="s">
        <v>68</v>
      </c>
      <c r="W1" s="23" t="s">
        <v>67</v>
      </c>
      <c r="X1" s="23" t="s">
        <v>69</v>
      </c>
      <c r="Y1" s="23" t="s">
        <v>67</v>
      </c>
      <c r="Z1" s="24" t="s">
        <v>70</v>
      </c>
      <c r="AA1" s="24" t="s">
        <v>71</v>
      </c>
      <c r="AB1" s="24" t="s">
        <v>72</v>
      </c>
      <c r="AC1" s="24" t="s">
        <v>73</v>
      </c>
    </row>
    <row r="2" customFormat="false" ht="12.8" hidden="false" customHeight="false" outlineLevel="0" collapsed="false">
      <c r="A2" s="25" t="s">
        <v>74</v>
      </c>
      <c r="B2" s="25" t="n">
        <v>100000</v>
      </c>
      <c r="C2" s="25" t="n">
        <v>100000</v>
      </c>
      <c r="D2" s="25" t="n">
        <v>251.1405</v>
      </c>
      <c r="E2" s="25" t="n">
        <v>904445</v>
      </c>
      <c r="F2" s="25" t="n">
        <v>200000</v>
      </c>
      <c r="G2" s="25" t="n">
        <v>200000</v>
      </c>
      <c r="H2" s="25" t="n">
        <v>351.3834</v>
      </c>
      <c r="I2" s="25" t="n">
        <v>1265914</v>
      </c>
      <c r="J2" s="25" t="n">
        <v>100000</v>
      </c>
      <c r="K2" s="25" t="n">
        <v>300000</v>
      </c>
      <c r="L2" s="25" t="n">
        <v>112.1425</v>
      </c>
      <c r="M2" s="25" t="n">
        <v>404065</v>
      </c>
      <c r="N2" s="25" t="n">
        <v>1.752451165</v>
      </c>
      <c r="O2" s="25" t="n">
        <v>100.2429</v>
      </c>
      <c r="P2" s="25" t="n">
        <v>3.85727461</v>
      </c>
      <c r="Q2" s="25" t="n">
        <v>221.002</v>
      </c>
      <c r="R2" s="25" t="n">
        <v>-348396.5989</v>
      </c>
      <c r="S2" s="25" t="n">
        <v>-118367.968</v>
      </c>
      <c r="T2" s="25" t="n">
        <v>251.1405</v>
      </c>
      <c r="U2" s="25" t="n">
        <v>4.384873098</v>
      </c>
      <c r="V2" s="25" t="n">
        <v>351.3834</v>
      </c>
      <c r="W2" s="25" t="n">
        <v>6.137324263</v>
      </c>
      <c r="X2" s="25" t="n">
        <v>112.1425</v>
      </c>
      <c r="Y2" s="25" t="n">
        <v>1.958962401</v>
      </c>
      <c r="Z2" s="25" t="n">
        <v>137114</v>
      </c>
      <c r="AA2" s="25" t="n">
        <v>209238</v>
      </c>
      <c r="AB2" s="25"/>
      <c r="AC2" s="25"/>
      <c r="AE2" s="25" t="n">
        <v>137114</v>
      </c>
      <c r="AF2" s="25" t="n">
        <v>209238</v>
      </c>
    </row>
    <row r="3" customFormat="false" ht="12.8" hidden="false" customHeight="false" outlineLevel="0" collapsed="false">
      <c r="A3" s="25" t="s">
        <v>75</v>
      </c>
      <c r="B3" s="25" t="n">
        <v>100000</v>
      </c>
      <c r="C3" s="25" t="n">
        <v>100000</v>
      </c>
      <c r="D3" s="25" t="n">
        <v>331.5847</v>
      </c>
      <c r="E3" s="25" t="n">
        <v>1195127</v>
      </c>
      <c r="F3" s="25" t="n">
        <v>200000</v>
      </c>
      <c r="G3" s="25" t="n">
        <v>200000</v>
      </c>
      <c r="H3" s="25" t="n">
        <v>17.1908</v>
      </c>
      <c r="I3" s="25" t="n">
        <v>62348</v>
      </c>
      <c r="J3" s="25" t="n">
        <v>100000</v>
      </c>
      <c r="K3" s="25" t="n">
        <v>300000</v>
      </c>
      <c r="L3" s="25" t="n">
        <v>62.2946</v>
      </c>
      <c r="M3" s="25" t="n">
        <v>224986</v>
      </c>
      <c r="N3" s="25" t="n">
        <v>0.791317738</v>
      </c>
      <c r="O3" s="25" t="n">
        <v>45.2021</v>
      </c>
      <c r="P3" s="25" t="n">
        <v>1.579809013</v>
      </c>
      <c r="Q3" s="25" t="n">
        <v>90.3059</v>
      </c>
      <c r="R3" s="25" t="n">
        <v>625.62443</v>
      </c>
      <c r="S3" s="25" t="n">
        <v>-1176.961644</v>
      </c>
      <c r="T3" s="25" t="n">
        <v>152.0024</v>
      </c>
      <c r="U3" s="25" t="n">
        <v>2.653017829</v>
      </c>
      <c r="V3" s="25" t="n">
        <v>197.2045</v>
      </c>
      <c r="W3" s="25" t="n">
        <v>3.444334557</v>
      </c>
      <c r="X3" s="25" t="n">
        <v>242.3223</v>
      </c>
      <c r="Y3" s="25" t="n">
        <v>4.232825831</v>
      </c>
      <c r="Z3" s="25" t="n">
        <v>18514</v>
      </c>
      <c r="AA3" s="25" t="n">
        <v>143314</v>
      </c>
      <c r="AB3" s="25"/>
      <c r="AC3" s="25"/>
      <c r="AE3" s="0" t="n">
        <v>18515</v>
      </c>
      <c r="AF3" s="0" t="n">
        <v>143314</v>
      </c>
    </row>
    <row r="4" customFormat="false" ht="12.8" hidden="false" customHeight="false" outlineLevel="0" collapsed="false">
      <c r="A4" s="25" t="s">
        <v>76</v>
      </c>
      <c r="B4" s="25" t="n">
        <v>100000</v>
      </c>
      <c r="C4" s="25" t="n">
        <v>100000</v>
      </c>
      <c r="D4" s="25" t="n">
        <v>317.1807</v>
      </c>
      <c r="E4" s="25" t="n">
        <v>1142287</v>
      </c>
      <c r="F4" s="25" t="n">
        <v>200000</v>
      </c>
      <c r="G4" s="25" t="n">
        <v>200000</v>
      </c>
      <c r="H4" s="25" t="n">
        <v>324.3448</v>
      </c>
      <c r="I4" s="25" t="n">
        <v>1168488</v>
      </c>
      <c r="J4" s="25" t="n">
        <v>100000</v>
      </c>
      <c r="K4" s="25" t="n">
        <v>300000</v>
      </c>
      <c r="L4" s="25" t="n">
        <v>325.5742</v>
      </c>
      <c r="M4" s="25" t="n">
        <v>1173462</v>
      </c>
      <c r="N4" s="25" t="n">
        <v>0.127026032</v>
      </c>
      <c r="O4" s="25" t="n">
        <v>7.1641</v>
      </c>
      <c r="P4" s="25" t="n">
        <v>0.151140665</v>
      </c>
      <c r="Q4" s="25" t="n">
        <v>8.3935</v>
      </c>
      <c r="R4" s="25" t="n">
        <v>-630177.7442</v>
      </c>
      <c r="S4" s="25" t="n">
        <v>683001.4427</v>
      </c>
      <c r="T4" s="25" t="n">
        <v>317.1813</v>
      </c>
      <c r="U4" s="25" t="n">
        <v>5.537992742</v>
      </c>
      <c r="V4" s="25" t="n">
        <v>324.3454</v>
      </c>
      <c r="W4" s="25" t="n">
        <v>5.665018775</v>
      </c>
      <c r="X4" s="25" t="n">
        <v>325.5748</v>
      </c>
      <c r="Y4" s="25" t="n">
        <v>5.689133407</v>
      </c>
      <c r="Z4" s="25" t="n">
        <v>-709005</v>
      </c>
      <c r="AA4" s="25" t="n">
        <v>846434</v>
      </c>
      <c r="AB4" s="25"/>
      <c r="AC4" s="25"/>
      <c r="AE4" s="25" t="n">
        <v>-709005</v>
      </c>
      <c r="AF4" s="25" t="n">
        <v>846436</v>
      </c>
    </row>
    <row r="5" customFormat="false" ht="12.8" hidden="false" customHeight="false" outlineLevel="0" collapsed="false">
      <c r="A5" s="25" t="s">
        <v>77</v>
      </c>
      <c r="B5" s="25" t="n">
        <v>-100000</v>
      </c>
      <c r="C5" s="25" t="n">
        <v>-100000</v>
      </c>
      <c r="D5" s="25" t="n">
        <v>163.0559</v>
      </c>
      <c r="E5" s="25" t="n">
        <v>587159</v>
      </c>
      <c r="F5" s="25" t="n">
        <v>-200000</v>
      </c>
      <c r="G5" s="25" t="n">
        <v>-200000</v>
      </c>
      <c r="H5" s="25" t="n">
        <v>183.5442</v>
      </c>
      <c r="I5" s="25" t="n">
        <v>662082</v>
      </c>
      <c r="J5" s="25" t="n">
        <v>-100000</v>
      </c>
      <c r="K5" s="25" t="n">
        <v>-300000</v>
      </c>
      <c r="L5" s="25" t="n">
        <v>206.2045</v>
      </c>
      <c r="M5" s="25" t="n">
        <v>742845</v>
      </c>
      <c r="N5" s="25" t="n">
        <v>0.363236954</v>
      </c>
      <c r="O5" s="25" t="n">
        <v>20.4843</v>
      </c>
      <c r="P5" s="25" t="n">
        <v>0.754787027</v>
      </c>
      <c r="Q5" s="25" t="n">
        <v>43.1446</v>
      </c>
      <c r="R5" s="25" t="n">
        <v>49548.54946</v>
      </c>
      <c r="S5" s="25" t="n">
        <v>-163086.6288</v>
      </c>
      <c r="T5" s="25" t="n">
        <v>163.0601</v>
      </c>
      <c r="U5" s="25" t="n">
        <v>2.846636858</v>
      </c>
      <c r="V5" s="25" t="n">
        <v>183.5444</v>
      </c>
      <c r="W5" s="25" t="n">
        <v>3.209873812</v>
      </c>
      <c r="X5" s="25" t="n">
        <v>206.2047</v>
      </c>
      <c r="Y5" s="25" t="n">
        <v>3.601423886</v>
      </c>
      <c r="Z5" s="25" t="n">
        <v>150295</v>
      </c>
      <c r="AA5" s="25" t="n">
        <v>-176044</v>
      </c>
      <c r="AB5" s="25"/>
      <c r="AC5" s="25"/>
      <c r="AE5" s="25" t="n">
        <v>150295</v>
      </c>
      <c r="AF5" s="25" t="n">
        <v>-176044</v>
      </c>
    </row>
    <row r="6" customFormat="false" ht="12.8" hidden="false" customHeight="false" outlineLevel="0" collapsed="false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customFormat="false" ht="12.8" hidden="false" customHeight="fals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customFormat="false" ht="12.8" hidden="false" customHeight="fals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customFormat="false" ht="12.8" hidden="false" customHeight="fals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customFormat="false" ht="12.8" hidden="false" customHeight="fals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customFormat="false" ht="12.8" hidden="false" customHeight="fals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customFormat="false" ht="12.8" hidden="false" customHeight="fals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customFormat="false" ht="12.8" hidden="false" customHeight="fals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customFormat="false" ht="12.8" hidden="false" customHeight="fals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customFormat="false" ht="12.8" hidden="false" customHeight="fals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customFormat="false" ht="12.8" hidden="false" customHeight="fals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customFormat="false" ht="12.8" hidden="false" customHeight="fals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customFormat="false" ht="12.8" hidden="false" customHeight="fals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customFormat="false" ht="12.8" hidden="false" customHeight="fals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customFormat="false" ht="12.8" hidden="false" customHeight="fals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customFormat="false" ht="12.8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3" customFormat="false" ht="15" hidden="false" customHeight="false" outlineLevel="0" collapsed="false">
      <c r="G23" s="26" t="n">
        <v>1296000</v>
      </c>
    </row>
    <row r="24" customFormat="false" ht="12.8" hidden="false" customHeight="false" outlineLevel="0" collapsed="false">
      <c r="D24" s="27" t="s">
        <v>53</v>
      </c>
      <c r="E24" s="27" t="s">
        <v>57</v>
      </c>
      <c r="F24" s="27" t="s">
        <v>78</v>
      </c>
    </row>
    <row r="25" customFormat="false" ht="12.8" hidden="false" customHeight="false" outlineLevel="0" collapsed="false">
      <c r="D25" s="27" t="n">
        <v>1265914</v>
      </c>
      <c r="E25" s="27" t="n">
        <v>62348</v>
      </c>
      <c r="F25" s="27" t="n">
        <v>92434</v>
      </c>
    </row>
    <row r="26" customFormat="false" ht="12.8" hidden="false" customHeight="false" outlineLevel="0" collapsed="false">
      <c r="D26" s="27" t="n">
        <v>62348</v>
      </c>
      <c r="E26" s="27" t="n">
        <v>1265914</v>
      </c>
      <c r="F26" s="27" t="n">
        <v>1203566</v>
      </c>
    </row>
    <row r="27" customFormat="false" ht="12.8" hidden="false" customHeight="false" outlineLevel="0" collapsed="false">
      <c r="D27" s="27" t="n">
        <v>1142287</v>
      </c>
      <c r="E27" s="27" t="n">
        <v>587159</v>
      </c>
      <c r="F27" s="27" t="n">
        <v>740872</v>
      </c>
    </row>
    <row r="28" customFormat="false" ht="12.8" hidden="false" customHeight="false" outlineLevel="0" collapsed="false">
      <c r="D28" s="27" t="n">
        <v>587159</v>
      </c>
      <c r="E28" s="27" t="n">
        <v>1142287</v>
      </c>
      <c r="F28" s="27" t="n">
        <v>555128</v>
      </c>
    </row>
    <row r="29" customFormat="false" ht="12.8" hidden="false" customHeight="false" outlineLevel="0" collapsed="false">
      <c r="D29" s="27"/>
      <c r="E29" s="27"/>
      <c r="F29" s="27"/>
    </row>
    <row r="30" customFormat="false" ht="12.8" hidden="false" customHeight="false" outlineLevel="0" collapsed="false">
      <c r="D30" s="27"/>
      <c r="E30" s="27"/>
      <c r="F30" s="27"/>
    </row>
    <row r="31" customFormat="false" ht="12.8" hidden="false" customHeight="false" outlineLevel="0" collapsed="false">
      <c r="D31" s="27"/>
      <c r="E31" s="27"/>
      <c r="F31" s="27"/>
    </row>
    <row r="32" customFormat="false" ht="12.8" hidden="false" customHeight="false" outlineLevel="0" collapsed="false">
      <c r="D32" s="27"/>
      <c r="E32" s="27"/>
      <c r="F32" s="27"/>
    </row>
    <row r="33" customFormat="false" ht="12.8" hidden="false" customHeight="false" outlineLevel="0" collapsed="false">
      <c r="D33" s="27"/>
      <c r="E33" s="27"/>
      <c r="F33" s="27"/>
    </row>
    <row r="34" customFormat="false" ht="12.8" hidden="false" customHeight="false" outlineLevel="0" collapsed="false">
      <c r="D34" s="27"/>
      <c r="E34" s="27"/>
      <c r="F34" s="27"/>
    </row>
    <row r="35" customFormat="false" ht="12.8" hidden="false" customHeight="false" outlineLevel="0" collapsed="false">
      <c r="D35" s="27"/>
      <c r="E35" s="27"/>
      <c r="F35" s="2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" activeCellId="0" sqref="K1"/>
    </sheetView>
  </sheetViews>
  <sheetFormatPr defaultColWidth="12.0546875" defaultRowHeight="12.8" zeroHeight="false" outlineLevelRow="0" outlineLevelCol="0"/>
  <cols>
    <col collapsed="false" customWidth="true" hidden="false" outlineLevel="0" max="1" min="1" style="0" width="15.95"/>
    <col collapsed="false" customWidth="true" hidden="false" outlineLevel="0" max="2" min="2" style="0" width="12.5"/>
    <col collapsed="false" customWidth="true" hidden="false" outlineLevel="0" max="4" min="4" style="0" width="13.29"/>
    <col collapsed="false" customWidth="true" hidden="false" outlineLevel="0" max="5" min="5" style="0" width="12.3"/>
    <col collapsed="false" customWidth="true" hidden="false" outlineLevel="0" max="6" min="6" style="0" width="12.2"/>
    <col collapsed="false" customWidth="true" hidden="false" outlineLevel="0" max="8" min="8" style="0" width="13.39"/>
    <col collapsed="false" customWidth="true" hidden="false" outlineLevel="0" max="9" min="9" style="0" width="15.48"/>
    <col collapsed="false" customWidth="true" hidden="false" outlineLevel="0" max="10" min="10" style="0" width="13.59"/>
  </cols>
  <sheetData>
    <row r="1" customFormat="false" ht="12.8" hidden="false" customHeight="false" outlineLevel="0" collapsed="false">
      <c r="A1" s="28" t="s">
        <v>79</v>
      </c>
      <c r="B1" s="28" t="s">
        <v>80</v>
      </c>
      <c r="C1" s="28" t="s">
        <v>81</v>
      </c>
      <c r="D1" s="28" t="s">
        <v>82</v>
      </c>
      <c r="E1" s="28" t="s">
        <v>71</v>
      </c>
      <c r="F1" s="28" t="s">
        <v>83</v>
      </c>
      <c r="G1" s="29" t="s">
        <v>84</v>
      </c>
      <c r="H1" s="29" t="s">
        <v>85</v>
      </c>
      <c r="I1" s="29" t="s">
        <v>86</v>
      </c>
      <c r="J1" s="29" t="s">
        <v>87</v>
      </c>
      <c r="K1" s="29" t="s">
        <v>88</v>
      </c>
    </row>
    <row r="2" customFormat="false" ht="12.8" hidden="false" customHeight="false" outlineLevel="0" collapsed="false">
      <c r="A2" s="30" t="n">
        <v>1000000000</v>
      </c>
      <c r="B2" s="30" t="n">
        <v>1000000000</v>
      </c>
      <c r="C2" s="30" t="n">
        <v>100000</v>
      </c>
      <c r="D2" s="30" t="n">
        <v>2000000000</v>
      </c>
      <c r="E2" s="30" t="n">
        <v>2000000000</v>
      </c>
      <c r="F2" s="30" t="n">
        <v>200000</v>
      </c>
      <c r="G2" s="30" t="n">
        <v>162000</v>
      </c>
      <c r="H2" s="30" t="n">
        <v>1414213562</v>
      </c>
      <c r="I2" s="30" t="n">
        <v>1414213566</v>
      </c>
      <c r="J2" s="30" t="n">
        <v>14</v>
      </c>
      <c r="K2" s="30" t="n">
        <v>100000</v>
      </c>
    </row>
    <row r="3" customFormat="false" ht="12.8" hidden="false" customHeight="false" outlineLevel="0" collapsed="false">
      <c r="A3" s="30" t="n">
        <v>2000000000</v>
      </c>
      <c r="B3" s="30" t="n">
        <v>2000000000</v>
      </c>
      <c r="C3" s="30" t="n">
        <v>200000</v>
      </c>
      <c r="D3" s="30"/>
      <c r="E3" s="30"/>
      <c r="F3" s="30"/>
      <c r="G3" s="30"/>
      <c r="H3" s="30"/>
      <c r="I3" s="30"/>
      <c r="J3" s="30"/>
      <c r="K3" s="30"/>
    </row>
    <row r="4" customFormat="false" ht="12.8" hidden="false" customHeight="false" outlineLevel="0" collapsed="false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</row>
    <row r="5" customFormat="false" ht="12.8" hidden="false" customHeight="false" outlineLevel="0" collapsed="false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</row>
    <row r="6" customFormat="false" ht="12.8" hidden="false" customHeight="false" outlineLevel="0" collapsed="false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customFormat="false" ht="12.8" hidden="false" customHeight="false" outlineLevel="0" collapsed="false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7" activeCellId="0" sqref="F7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15.95"/>
    <col collapsed="false" customWidth="true" hidden="false" outlineLevel="0" max="2" min="2" style="0" width="18.82"/>
    <col collapsed="false" customWidth="true" hidden="false" outlineLevel="0" max="3" min="3" style="0" width="21.6"/>
    <col collapsed="false" customWidth="true" hidden="false" outlineLevel="0" max="4" min="4" style="0" width="13.29"/>
    <col collapsed="false" customWidth="true" hidden="false" outlineLevel="0" max="5" min="5" style="0" width="15.88"/>
    <col collapsed="false" customWidth="true" hidden="false" outlineLevel="0" max="6" min="6" style="0" width="18.44"/>
    <col collapsed="false" customWidth="true" hidden="false" outlineLevel="0" max="7" min="7" style="0" width="17.55"/>
    <col collapsed="false" customWidth="true" hidden="false" outlineLevel="0" max="8" min="8" style="0" width="13.39"/>
    <col collapsed="false" customWidth="true" hidden="false" outlineLevel="0" max="9" min="9" style="0" width="15.48"/>
    <col collapsed="false" customWidth="true" hidden="false" outlineLevel="0" max="10" min="10" style="0" width="25.98"/>
    <col collapsed="false" customWidth="true" hidden="false" outlineLevel="0" max="11" min="11" style="0" width="11.9"/>
  </cols>
  <sheetData>
    <row r="1" customFormat="false" ht="12.8" hidden="false" customHeight="false" outlineLevel="0" collapsed="false">
      <c r="A1" s="28" t="s">
        <v>89</v>
      </c>
      <c r="B1" s="28" t="s">
        <v>90</v>
      </c>
      <c r="C1" s="28" t="s">
        <v>91</v>
      </c>
      <c r="D1" s="28" t="s">
        <v>92</v>
      </c>
      <c r="E1" s="28" t="s">
        <v>93</v>
      </c>
      <c r="F1" s="28" t="s">
        <v>94</v>
      </c>
      <c r="G1" s="28" t="s">
        <v>95</v>
      </c>
      <c r="H1" s="28" t="s">
        <v>96</v>
      </c>
      <c r="I1" s="28" t="s">
        <v>97</v>
      </c>
      <c r="J1" s="29" t="s">
        <v>98</v>
      </c>
      <c r="K1" s="29"/>
    </row>
    <row r="2" customFormat="false" ht="12.85" hidden="false" customHeight="false" outlineLevel="0" collapsed="false">
      <c r="A2" s="30" t="n">
        <v>1301</v>
      </c>
      <c r="B2" s="30" t="n">
        <v>478676113</v>
      </c>
      <c r="C2" s="30" t="n">
        <v>2296967264</v>
      </c>
      <c r="D2" s="30" t="n">
        <v>11220</v>
      </c>
      <c r="E2" s="30" t="n">
        <v>1538</v>
      </c>
      <c r="F2" s="30" t="n">
        <v>0</v>
      </c>
      <c r="G2" s="30" t="n">
        <v>1302</v>
      </c>
      <c r="H2" s="30" t="n">
        <v>478685352</v>
      </c>
      <c r="I2" s="30" t="n">
        <v>2296938168</v>
      </c>
      <c r="J2" s="31" t="n">
        <v>1035419</v>
      </c>
      <c r="K2" s="30"/>
    </row>
    <row r="3" customFormat="false" ht="12.85" hidden="false" customHeight="false" outlineLevel="0" collapsed="false">
      <c r="A3" s="30" t="n">
        <v>100</v>
      </c>
      <c r="B3" s="30" t="n">
        <v>478660283</v>
      </c>
      <c r="C3" s="30" t="n">
        <v>2297003862</v>
      </c>
      <c r="D3" s="30" t="n">
        <v>11231</v>
      </c>
      <c r="E3" s="30" t="n">
        <v>1580</v>
      </c>
      <c r="F3" s="30" t="n">
        <v>0</v>
      </c>
      <c r="G3" s="30" t="n">
        <v>1301</v>
      </c>
      <c r="H3" s="30" t="n">
        <v>478676113</v>
      </c>
      <c r="I3" s="30" t="n">
        <v>2296967264</v>
      </c>
      <c r="J3" s="31" t="n">
        <v>1056205</v>
      </c>
      <c r="K3" s="30"/>
    </row>
    <row r="4" customFormat="false" ht="12.85" hidden="false" customHeight="false" outlineLevel="0" collapsed="false">
      <c r="A4" s="30" t="n">
        <v>101</v>
      </c>
      <c r="B4" s="30" t="n">
        <v>478650714</v>
      </c>
      <c r="C4" s="30" t="n">
        <v>2297071740</v>
      </c>
      <c r="D4" s="30" t="n">
        <v>10930</v>
      </c>
      <c r="E4" s="30" t="n">
        <v>1550</v>
      </c>
      <c r="F4" s="30" t="n">
        <v>590160</v>
      </c>
      <c r="G4" s="30" t="n">
        <v>100</v>
      </c>
      <c r="H4" s="30" t="n">
        <v>478660283</v>
      </c>
      <c r="I4" s="30" t="n">
        <v>2297003862</v>
      </c>
      <c r="J4" s="31" t="n">
        <v>1000888</v>
      </c>
      <c r="K4" s="30"/>
    </row>
    <row r="6" customFormat="false" ht="12.8" hidden="false" customHeight="false" outlineLevel="0" collapsed="false">
      <c r="A6" s="0" t="s">
        <v>99</v>
      </c>
    </row>
    <row r="7" customFormat="false" ht="12.8" hidden="false" customHeight="false" outlineLevel="0" collapsed="false">
      <c r="A7" s="28" t="s">
        <v>50</v>
      </c>
      <c r="B7" s="28" t="s">
        <v>100</v>
      </c>
      <c r="C7" s="28" t="s">
        <v>101</v>
      </c>
      <c r="D7" s="28" t="s">
        <v>87</v>
      </c>
      <c r="E7" s="28" t="s">
        <v>102</v>
      </c>
      <c r="F7" s="29" t="s">
        <v>103</v>
      </c>
      <c r="G7" s="29" t="s">
        <v>104</v>
      </c>
      <c r="H7" s="29" t="s">
        <v>105</v>
      </c>
      <c r="I7" s="29" t="s">
        <v>106</v>
      </c>
      <c r="J7" s="29" t="s">
        <v>107</v>
      </c>
      <c r="K7" s="29" t="s">
        <v>108</v>
      </c>
      <c r="L7" s="29" t="s">
        <v>109</v>
      </c>
    </row>
    <row r="8" customFormat="false" ht="12.8" hidden="false" customHeight="false" outlineLevel="0" collapsed="false">
      <c r="A8" s="31" t="n">
        <v>1302</v>
      </c>
      <c r="B8" s="31" t="n">
        <v>1295993</v>
      </c>
      <c r="C8" s="31" t="n">
        <v>30526</v>
      </c>
      <c r="D8" s="31" t="n">
        <v>1809</v>
      </c>
      <c r="E8" s="31" t="n">
        <v>1600</v>
      </c>
      <c r="F8" s="1" t="n">
        <v>1035412</v>
      </c>
      <c r="G8" s="1" t="n">
        <v>9237</v>
      </c>
      <c r="H8" s="1" t="n">
        <v>-29094</v>
      </c>
      <c r="I8" s="1" t="n">
        <v>206</v>
      </c>
      <c r="J8" s="1" t="n">
        <v>478685350</v>
      </c>
      <c r="K8" s="1" t="n">
        <v>2296938170</v>
      </c>
      <c r="L8" s="1" t="n">
        <v>11426</v>
      </c>
    </row>
    <row r="9" customFormat="false" ht="12.8" hidden="false" customHeight="false" outlineLevel="0" collapsed="false">
      <c r="A9" s="31" t="s">
        <v>110</v>
      </c>
      <c r="B9" s="31" t="n">
        <v>668748</v>
      </c>
      <c r="C9" s="31" t="n">
        <v>39878</v>
      </c>
      <c r="D9" s="31" t="n">
        <v>406</v>
      </c>
      <c r="E9" s="1" t="n">
        <v>1600</v>
      </c>
      <c r="F9" s="1" t="n">
        <v>408167</v>
      </c>
      <c r="G9" s="1" t="n">
        <v>-15825</v>
      </c>
      <c r="H9" s="1" t="n">
        <v>36604</v>
      </c>
      <c r="I9" s="1" t="n">
        <v>16</v>
      </c>
      <c r="J9" s="1" t="n">
        <v>478660288</v>
      </c>
      <c r="K9" s="1" t="n">
        <v>2297003868</v>
      </c>
      <c r="L9" s="1" t="n">
        <v>11236</v>
      </c>
    </row>
    <row r="10" customFormat="false" ht="12.8" hidden="false" customHeight="false" outlineLevel="0" collapsed="false">
      <c r="A10" s="1"/>
      <c r="B10" s="1"/>
      <c r="C10" s="1"/>
      <c r="D10" s="1"/>
      <c r="E10" s="1"/>
      <c r="F10" s="1" t="s">
        <v>111</v>
      </c>
      <c r="G10" s="1"/>
      <c r="H10" s="1"/>
      <c r="I10" s="1"/>
      <c r="J10" s="1"/>
      <c r="K10" s="1"/>
      <c r="L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3" customFormat="false" ht="12.8" hidden="false" customHeight="false" outlineLevel="0" collapsed="false">
      <c r="A13" s="0" t="s">
        <v>112</v>
      </c>
    </row>
    <row r="14" customFormat="false" ht="12.8" hidden="false" customHeight="false" outlineLevel="0" collapsed="false">
      <c r="A14" s="28" t="s">
        <v>50</v>
      </c>
      <c r="B14" s="28" t="s">
        <v>100</v>
      </c>
      <c r="C14" s="28" t="s">
        <v>101</v>
      </c>
      <c r="D14" s="28" t="s">
        <v>87</v>
      </c>
      <c r="E14" s="28" t="s">
        <v>102</v>
      </c>
      <c r="F14" s="29" t="s">
        <v>103</v>
      </c>
      <c r="G14" s="29" t="s">
        <v>104</v>
      </c>
      <c r="H14" s="29" t="s">
        <v>105</v>
      </c>
      <c r="I14" s="29" t="s">
        <v>106</v>
      </c>
      <c r="J14" s="29" t="s">
        <v>107</v>
      </c>
      <c r="K14" s="29" t="s">
        <v>108</v>
      </c>
      <c r="L14" s="29" t="s">
        <v>109</v>
      </c>
    </row>
    <row r="15" customFormat="false" ht="12.8" hidden="false" customHeight="false" outlineLevel="0" collapsed="false">
      <c r="A15" s="31" t="n">
        <v>74</v>
      </c>
      <c r="B15" s="31" t="n">
        <v>623026</v>
      </c>
      <c r="C15" s="31" t="n">
        <v>45491</v>
      </c>
      <c r="D15" s="31" t="n">
        <v>-429</v>
      </c>
      <c r="E15" s="1" t="n">
        <v>1600</v>
      </c>
      <c r="F15" s="1" t="n">
        <v>383231</v>
      </c>
      <c r="G15" s="1" t="n">
        <v>-12884</v>
      </c>
      <c r="H15" s="1" t="n">
        <v>43628</v>
      </c>
      <c r="I15" s="1" t="n">
        <v>-115</v>
      </c>
      <c r="J15" s="1" t="n">
        <v>478647399</v>
      </c>
      <c r="K15" s="1" t="n">
        <v>2297047490</v>
      </c>
      <c r="L15" s="1" t="n">
        <v>11116</v>
      </c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20" customFormat="false" ht="12.8" hidden="false" customHeight="false" outlineLevel="0" collapsed="false">
      <c r="A20" s="0" t="s">
        <v>113</v>
      </c>
    </row>
    <row r="21" customFormat="false" ht="12.8" hidden="false" customHeight="false" outlineLevel="0" collapsed="false">
      <c r="A21" s="28" t="s">
        <v>50</v>
      </c>
      <c r="B21" s="28" t="s">
        <v>100</v>
      </c>
      <c r="C21" s="28" t="s">
        <v>101</v>
      </c>
      <c r="D21" s="28" t="s">
        <v>87</v>
      </c>
      <c r="E21" s="28" t="s">
        <v>102</v>
      </c>
      <c r="F21" s="29" t="s">
        <v>103</v>
      </c>
      <c r="G21" s="29" t="s">
        <v>104</v>
      </c>
      <c r="H21" s="29" t="s">
        <v>105</v>
      </c>
      <c r="I21" s="29" t="s">
        <v>106</v>
      </c>
      <c r="J21" s="29" t="s">
        <v>107</v>
      </c>
      <c r="K21" s="29" t="s">
        <v>108</v>
      </c>
      <c r="L21" s="29" t="s">
        <v>109</v>
      </c>
    </row>
    <row r="22" customFormat="false" ht="12.8" hidden="false" customHeight="false" outlineLevel="0" collapsed="false">
      <c r="A22" s="31" t="n">
        <v>999</v>
      </c>
      <c r="B22" s="31" t="n">
        <v>590160</v>
      </c>
      <c r="C22" s="31" t="n">
        <v>43599</v>
      </c>
      <c r="D22" s="31" t="n">
        <v>31001</v>
      </c>
      <c r="E22" s="1" t="n">
        <v>0</v>
      </c>
      <c r="F22" s="1" t="n">
        <v>1000888</v>
      </c>
      <c r="G22" s="1" t="n">
        <v>6018</v>
      </c>
      <c r="H22" s="1" t="n">
        <v>-42685</v>
      </c>
      <c r="I22" s="1" t="n">
        <v>8078</v>
      </c>
      <c r="J22" s="1" t="n">
        <v>478656732</v>
      </c>
      <c r="K22" s="1" t="n">
        <v>2297029055</v>
      </c>
      <c r="L22" s="1" t="n">
        <v>19008</v>
      </c>
    </row>
    <row r="23" customFormat="false" ht="12.8" hidden="false" customHeight="false" outlineLevel="0" collapsed="false">
      <c r="A23" s="31" t="n">
        <v>12</v>
      </c>
      <c r="B23" s="31" t="n">
        <v>590716</v>
      </c>
      <c r="C23" s="31" t="n">
        <v>43594</v>
      </c>
      <c r="D23" s="31" t="n">
        <v>30742</v>
      </c>
      <c r="E23" s="1" t="n">
        <v>2000000</v>
      </c>
      <c r="F23" s="1" t="n">
        <v>1001444</v>
      </c>
      <c r="G23" s="1" t="n">
        <v>6133</v>
      </c>
      <c r="H23" s="1" t="n">
        <v>-42672</v>
      </c>
      <c r="I23" s="1" t="n">
        <v>-1991977</v>
      </c>
      <c r="J23" s="1" t="n">
        <v>478656847</v>
      </c>
      <c r="K23" s="1" t="n">
        <v>2297029068</v>
      </c>
      <c r="L23" s="1" t="n">
        <v>-1981047</v>
      </c>
    </row>
    <row r="24" customFormat="false" ht="12.8" hidden="false" customHeight="false" outlineLevel="0" collapsed="false">
      <c r="A24" s="31" t="n">
        <v>40</v>
      </c>
      <c r="B24" s="31" t="n">
        <v>526726</v>
      </c>
      <c r="C24" s="31" t="n">
        <v>30114</v>
      </c>
      <c r="D24" s="31" t="n">
        <v>8484</v>
      </c>
      <c r="E24" s="1" t="n">
        <v>2000000</v>
      </c>
      <c r="F24" s="1" t="n">
        <v>937454</v>
      </c>
      <c r="G24" s="1" t="n">
        <v>-5016</v>
      </c>
      <c r="H24" s="1" t="n">
        <v>-29668</v>
      </c>
      <c r="I24" s="1" t="n">
        <v>-1997212</v>
      </c>
      <c r="J24" s="1" t="n">
        <v>478645698</v>
      </c>
      <c r="K24" s="1" t="n">
        <v>2297042072</v>
      </c>
      <c r="L24" s="1" t="n">
        <v>-1986282</v>
      </c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30"/>
  <sheetViews>
    <sheetView showFormulas="false" showGridLines="true" showRowColHeaders="true" showZeros="true" rightToLeft="false" tabSelected="false" showOutlineSymbols="true" defaultGridColor="true" view="normal" topLeftCell="G1" colorId="64" zoomScale="110" zoomScaleNormal="110" zoomScalePageLayoutView="100" workbookViewId="0">
      <selection pane="topLeft" activeCell="J2" activeCellId="0" sqref="J2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5.66"/>
    <col collapsed="false" customWidth="true" hidden="false" outlineLevel="0" max="3" min="3" style="1" width="14.43"/>
    <col collapsed="false" customWidth="true" hidden="false" outlineLevel="0" max="4" min="4" style="1" width="20.14"/>
    <col collapsed="false" customWidth="true" hidden="false" outlineLevel="0" max="5" min="5" style="1" width="14.16"/>
    <col collapsed="false" customWidth="true" hidden="false" outlineLevel="0" max="6" min="6" style="1" width="11.57"/>
    <col collapsed="false" customWidth="true" hidden="false" outlineLevel="0" max="7" min="7" style="1" width="14.65"/>
    <col collapsed="false" customWidth="true" hidden="false" outlineLevel="0" max="9" min="8" style="1" width="11.57"/>
    <col collapsed="false" customWidth="true" hidden="false" outlineLevel="0" max="13" min="13" style="0" width="21.22"/>
    <col collapsed="false" customWidth="false" hidden="false" outlineLevel="0" max="14" min="14" style="1" width="11.59"/>
  </cols>
  <sheetData>
    <row r="1" s="1" customFormat="true" ht="12.8" hidden="false" customHeight="false" outlineLevel="0" collapsed="false">
      <c r="A1" s="28"/>
      <c r="B1" s="28"/>
      <c r="C1" s="28"/>
      <c r="D1" s="29"/>
      <c r="E1" s="29" t="s">
        <v>114</v>
      </c>
      <c r="F1" s="29"/>
      <c r="G1" s="29"/>
      <c r="H1" s="29"/>
      <c r="I1" s="29"/>
      <c r="J1" s="29"/>
      <c r="K1" s="29"/>
      <c r="L1" s="29"/>
      <c r="M1" s="29"/>
      <c r="N1" s="29"/>
    </row>
    <row r="2" s="1" customFormat="true" ht="12.8" hidden="false" customHeight="false" outlineLevel="0" collapsed="false">
      <c r="A2" s="28" t="s">
        <v>89</v>
      </c>
      <c r="B2" s="28" t="s">
        <v>115</v>
      </c>
      <c r="C2" s="28" t="s">
        <v>85</v>
      </c>
      <c r="D2" s="29" t="s">
        <v>116</v>
      </c>
      <c r="E2" s="29" t="s">
        <v>117</v>
      </c>
      <c r="F2" s="29" t="s">
        <v>118</v>
      </c>
      <c r="G2" s="29" t="s">
        <v>119</v>
      </c>
      <c r="H2" s="29" t="s">
        <v>120</v>
      </c>
      <c r="I2" s="29" t="s">
        <v>121</v>
      </c>
      <c r="J2" s="29" t="s">
        <v>107</v>
      </c>
      <c r="K2" s="29" t="s">
        <v>108</v>
      </c>
      <c r="L2" s="29" t="s">
        <v>122</v>
      </c>
      <c r="M2" s="29" t="s">
        <v>123</v>
      </c>
      <c r="N2" s="29" t="s">
        <v>109</v>
      </c>
    </row>
    <row r="3" customFormat="false" ht="12.8" hidden="false" customHeight="false" outlineLevel="0" collapsed="false">
      <c r="A3" s="1" t="n">
        <v>1008</v>
      </c>
      <c r="B3" s="1" t="n">
        <v>0</v>
      </c>
      <c r="C3" s="1" t="n">
        <v>0</v>
      </c>
      <c r="E3" s="32" t="n">
        <v>196534</v>
      </c>
      <c r="J3" s="32" t="n">
        <v>456961430</v>
      </c>
      <c r="K3" s="32" t="n">
        <v>2261163707</v>
      </c>
      <c r="L3" s="32"/>
      <c r="M3" s="32"/>
    </row>
    <row r="4" customFormat="false" ht="12.8" hidden="false" customHeight="false" outlineLevel="0" collapsed="false">
      <c r="A4" s="1" t="n">
        <v>1007</v>
      </c>
      <c r="B4" s="1" t="n">
        <v>457619</v>
      </c>
      <c r="C4" s="1" t="n">
        <v>68689</v>
      </c>
      <c r="D4" s="1" t="n">
        <v>-11</v>
      </c>
      <c r="E4" s="1" t="n">
        <v>6142</v>
      </c>
      <c r="F4" s="1" t="n">
        <v>68659</v>
      </c>
      <c r="G4" s="1" t="n">
        <v>5</v>
      </c>
      <c r="H4" s="1" t="n">
        <v>2045</v>
      </c>
      <c r="I4" s="1" t="n">
        <v>4</v>
      </c>
      <c r="J4" s="32" t="n">
        <v>456988790</v>
      </c>
      <c r="K4" s="32" t="n">
        <v>2261202196</v>
      </c>
      <c r="L4" s="1" t="n">
        <v>-286</v>
      </c>
      <c r="M4" s="1" t="n">
        <f aca="false">C4*B21</f>
        <v>-1.52941307445672</v>
      </c>
      <c r="N4" s="32" t="n">
        <v>17720</v>
      </c>
    </row>
    <row r="5" customFormat="false" ht="12.8" hidden="false" customHeight="false" outlineLevel="0" collapsed="false">
      <c r="A5" s="1" t="n">
        <v>100</v>
      </c>
      <c r="B5" s="1" t="n">
        <v>636053</v>
      </c>
      <c r="C5" s="1" t="n">
        <v>64987</v>
      </c>
      <c r="D5" s="1" t="n">
        <v>-11</v>
      </c>
      <c r="E5" s="1" t="n">
        <v>1290184</v>
      </c>
      <c r="F5" s="1" t="n">
        <v>64961</v>
      </c>
      <c r="G5" s="1" t="n">
        <v>4</v>
      </c>
      <c r="H5" s="1" t="n">
        <v>-1832</v>
      </c>
      <c r="I5" s="1" t="n">
        <v>4</v>
      </c>
      <c r="J5" s="1" t="n">
        <v>457057454</v>
      </c>
      <c r="K5" s="1" t="n">
        <v>2261204245</v>
      </c>
      <c r="L5" s="1" t="n">
        <v>-174</v>
      </c>
      <c r="M5" s="1" t="n">
        <f aca="false">C5*B21</f>
        <v>-1.4469852155326</v>
      </c>
      <c r="N5" s="1" t="n">
        <v>17432</v>
      </c>
    </row>
    <row r="6" customFormat="false" ht="12.8" hidden="false" customHeight="false" outlineLevel="0" collapsed="false">
      <c r="A6" s="1" t="n">
        <v>101</v>
      </c>
      <c r="B6" s="1" t="n">
        <v>355217</v>
      </c>
      <c r="C6" s="1" t="n">
        <v>57154</v>
      </c>
      <c r="D6" s="1" t="n">
        <v>-11</v>
      </c>
      <c r="E6" s="1" t="n">
        <v>997390</v>
      </c>
      <c r="F6" s="1" t="n">
        <v>7018</v>
      </c>
      <c r="G6" s="1" t="n">
        <v>4</v>
      </c>
      <c r="H6" s="1" t="n">
        <v>-56722</v>
      </c>
      <c r="I6" s="1" t="n">
        <v>3</v>
      </c>
      <c r="J6" s="1" t="n">
        <v>457122419</v>
      </c>
      <c r="K6" s="1" t="n">
        <v>2261202417</v>
      </c>
      <c r="L6" s="1" t="n">
        <v>-928</v>
      </c>
      <c r="M6" s="1" t="n">
        <f aca="false">C6*B21</f>
        <v>-1.27257748485928</v>
      </c>
      <c r="N6" s="1" t="n">
        <v>17257</v>
      </c>
    </row>
    <row r="7" customFormat="false" ht="12.8" hidden="false" customHeight="false" outlineLevel="0" collapsed="false">
      <c r="A7" s="1" t="n">
        <v>102</v>
      </c>
      <c r="B7" s="1" t="n">
        <v>623634</v>
      </c>
      <c r="C7" s="1" t="n">
        <v>33730</v>
      </c>
      <c r="D7" s="1" t="n">
        <v>-11</v>
      </c>
      <c r="E7" s="1" t="n">
        <v>973013</v>
      </c>
      <c r="F7" s="1" t="n">
        <v>166</v>
      </c>
      <c r="G7" s="1" t="n">
        <v>2</v>
      </c>
      <c r="H7" s="1" t="n">
        <v>-33730</v>
      </c>
      <c r="I7" s="1" t="n">
        <v>2</v>
      </c>
      <c r="J7" s="1" t="n">
        <v>457129441</v>
      </c>
      <c r="K7" s="1" t="n">
        <v>2261145698</v>
      </c>
      <c r="L7" s="1" t="n">
        <v>-560</v>
      </c>
      <c r="M7" s="1" t="n">
        <f aca="false">C7*B21</f>
        <v>-0.751024225151407</v>
      </c>
      <c r="N7" s="1" t="n">
        <v>16328</v>
      </c>
    </row>
    <row r="8" customFormat="false" ht="12.8" hidden="false" customHeight="false" outlineLevel="0" collapsed="false">
      <c r="A8" s="1" t="n">
        <v>1003</v>
      </c>
      <c r="B8" s="1" t="n">
        <v>653188</v>
      </c>
      <c r="D8" s="1" t="n">
        <v>-11</v>
      </c>
      <c r="E8" s="32" t="n">
        <v>978190</v>
      </c>
      <c r="J8" s="32" t="n">
        <v>457129609</v>
      </c>
      <c r="K8" s="32" t="n">
        <v>2261111970</v>
      </c>
      <c r="L8" s="32"/>
      <c r="M8" s="32"/>
      <c r="N8" s="32" t="n">
        <v>15767</v>
      </c>
    </row>
    <row r="9" customFormat="false" ht="12.8" hidden="false" customHeight="false" outlineLevel="0" collapsed="false">
      <c r="A9" s="1" t="n">
        <v>1004</v>
      </c>
      <c r="J9" s="32" t="n">
        <v>457131018</v>
      </c>
      <c r="K9" s="32" t="n">
        <v>2261065036</v>
      </c>
      <c r="L9" s="32"/>
      <c r="M9" s="32"/>
    </row>
    <row r="10" customFormat="false" ht="12.8" hidden="false" customHeight="false" outlineLevel="0" collapsed="false">
      <c r="J10" s="1"/>
      <c r="K10" s="1"/>
      <c r="L10" s="1"/>
      <c r="M10" s="1"/>
    </row>
    <row r="11" customFormat="false" ht="12.8" hidden="false" customHeight="false" outlineLevel="0" collapsed="false">
      <c r="A11" s="33" t="s">
        <v>124</v>
      </c>
      <c r="B11" s="1" t="n">
        <f aca="false">SUM(B4:B8)</f>
        <v>2725711</v>
      </c>
      <c r="F11" s="1" t="n">
        <f aca="false">SUM(F4:F7)</f>
        <v>140804</v>
      </c>
      <c r="H11" s="1" t="n">
        <f aca="false">SUM(H4:H7)</f>
        <v>-90239</v>
      </c>
      <c r="J11" s="1"/>
      <c r="K11" s="1"/>
      <c r="L11" s="1" t="n">
        <f aca="false">SUM(L4:L7)</f>
        <v>-1948</v>
      </c>
      <c r="M11" s="1"/>
    </row>
    <row r="12" customFormat="false" ht="12.8" hidden="false" customHeight="false" outlineLevel="0" collapsed="false">
      <c r="A12" s="1" t="s">
        <v>125</v>
      </c>
      <c r="B12" s="1" t="n">
        <v>55</v>
      </c>
      <c r="J12" s="1"/>
      <c r="K12" s="1"/>
      <c r="L12" s="1"/>
      <c r="M12" s="1"/>
    </row>
    <row r="13" customFormat="false" ht="12.8" hidden="false" customHeight="false" outlineLevel="0" collapsed="false">
      <c r="A13" s="1" t="s">
        <v>126</v>
      </c>
      <c r="B13" s="1" t="n">
        <v>-11</v>
      </c>
      <c r="J13" s="1"/>
      <c r="K13" s="1"/>
      <c r="L13" s="1"/>
      <c r="M13" s="1"/>
    </row>
    <row r="14" customFormat="false" ht="12.8" hidden="false" customHeight="false" outlineLevel="0" collapsed="false">
      <c r="A14" s="1" t="s">
        <v>127</v>
      </c>
      <c r="B14" s="1" t="n">
        <f aca="false">J4+F11-J8</f>
        <v>-15</v>
      </c>
    </row>
    <row r="15" customFormat="false" ht="12.8" hidden="false" customHeight="false" outlineLevel="0" collapsed="false">
      <c r="A15" s="1" t="s">
        <v>128</v>
      </c>
      <c r="B15" s="1" t="n">
        <f aca="false">K4+H11-K8</f>
        <v>-13</v>
      </c>
    </row>
    <row r="16" customFormat="false" ht="12.8" hidden="false" customHeight="false" outlineLevel="0" collapsed="false">
      <c r="A16" s="1" t="s">
        <v>129</v>
      </c>
      <c r="B16" s="1" t="n">
        <v>224560</v>
      </c>
    </row>
    <row r="17" customFormat="false" ht="12.8" hidden="false" customHeight="false" outlineLevel="0" collapsed="false">
      <c r="A17" s="1" t="s">
        <v>130</v>
      </c>
      <c r="B17" s="1" t="n">
        <v>20</v>
      </c>
    </row>
    <row r="18" customFormat="false" ht="12.8" hidden="false" customHeight="false" outlineLevel="0" collapsed="false">
      <c r="A18" s="1" t="s">
        <v>131</v>
      </c>
      <c r="B18" s="1" t="s">
        <v>132</v>
      </c>
    </row>
    <row r="20" customFormat="false" ht="12.8" hidden="false" customHeight="false" outlineLevel="0" collapsed="false">
      <c r="A20" s="1" t="s">
        <v>133</v>
      </c>
      <c r="B20" s="1" t="n">
        <f aca="false">N4+L11-N8</f>
        <v>5</v>
      </c>
    </row>
    <row r="21" customFormat="false" ht="12.8" hidden="false" customHeight="false" outlineLevel="0" collapsed="false">
      <c r="A21" s="1" t="s">
        <v>134</v>
      </c>
      <c r="B21" s="1" t="n">
        <f aca="false">B20/B16*-1</f>
        <v>-2.2265764161026E-005</v>
      </c>
    </row>
    <row r="24" s="1" customFormat="true" ht="12.8" hidden="false" customHeight="false" outlineLevel="0" collapsed="false">
      <c r="A24" s="28"/>
      <c r="B24" s="28"/>
      <c r="C24" s="28"/>
      <c r="D24" s="29"/>
      <c r="E24" s="29" t="s">
        <v>135</v>
      </c>
      <c r="F24" s="29"/>
      <c r="G24" s="29"/>
      <c r="H24" s="29"/>
      <c r="I24" s="29"/>
      <c r="J24" s="29"/>
      <c r="K24" s="29"/>
      <c r="L24" s="29"/>
      <c r="M24" s="29"/>
      <c r="N24" s="29"/>
    </row>
    <row r="25" s="1" customFormat="true" ht="12.8" hidden="false" customHeight="false" outlineLevel="0" collapsed="false">
      <c r="A25" s="28" t="s">
        <v>89</v>
      </c>
      <c r="B25" s="28" t="s">
        <v>115</v>
      </c>
      <c r="C25" s="28" t="s">
        <v>85</v>
      </c>
      <c r="D25" s="29" t="s">
        <v>116</v>
      </c>
      <c r="E25" s="29" t="s">
        <v>117</v>
      </c>
      <c r="F25" s="29" t="s">
        <v>118</v>
      </c>
      <c r="G25" s="29" t="s">
        <v>119</v>
      </c>
      <c r="H25" s="29" t="s">
        <v>120</v>
      </c>
      <c r="I25" s="29" t="s">
        <v>121</v>
      </c>
      <c r="J25" s="29" t="s">
        <v>107</v>
      </c>
      <c r="K25" s="29" t="s">
        <v>108</v>
      </c>
      <c r="L25" s="29" t="s">
        <v>122</v>
      </c>
      <c r="M25" s="29" t="s">
        <v>123</v>
      </c>
      <c r="N25" s="29" t="s">
        <v>109</v>
      </c>
    </row>
    <row r="26" customFormat="false" ht="12.8" hidden="false" customHeight="false" outlineLevel="0" collapsed="false">
      <c r="A26" s="1" t="n">
        <v>1008</v>
      </c>
      <c r="B26" s="1" t="n">
        <v>0</v>
      </c>
      <c r="C26" s="1" t="n">
        <v>0</v>
      </c>
      <c r="E26" s="32" t="n">
        <v>196534</v>
      </c>
      <c r="J26" s="32" t="n">
        <v>456961430</v>
      </c>
      <c r="K26" s="32" t="n">
        <v>2261163707</v>
      </c>
      <c r="L26" s="32"/>
      <c r="M26" s="32"/>
    </row>
    <row r="27" customFormat="false" ht="12.8" hidden="false" customHeight="false" outlineLevel="0" collapsed="false">
      <c r="A27" s="1" t="n">
        <v>1007</v>
      </c>
      <c r="B27" s="1" t="n">
        <v>457619</v>
      </c>
      <c r="C27" s="1" t="n">
        <v>68689</v>
      </c>
      <c r="F27" s="1" t="n">
        <v>68658</v>
      </c>
      <c r="H27" s="1" t="n">
        <v>2049</v>
      </c>
      <c r="J27" s="32" t="n">
        <v>456988790</v>
      </c>
      <c r="K27" s="32" t="n">
        <v>2261202196</v>
      </c>
      <c r="L27" s="1"/>
      <c r="M27" s="1"/>
      <c r="N27" s="32" t="n">
        <v>17720</v>
      </c>
    </row>
    <row r="28" customFormat="false" ht="12.8" hidden="false" customHeight="false" outlineLevel="0" collapsed="false">
      <c r="A28" s="1" t="n">
        <v>100</v>
      </c>
      <c r="B28" s="1" t="n">
        <v>636053</v>
      </c>
      <c r="C28" s="1" t="n">
        <v>64987</v>
      </c>
      <c r="F28" s="1" t="n">
        <v>64961</v>
      </c>
      <c r="H28" s="1" t="n">
        <v>-1825</v>
      </c>
      <c r="J28" s="1" t="n">
        <v>457057457</v>
      </c>
      <c r="K28" s="1" t="n">
        <v>2261204248</v>
      </c>
      <c r="L28" s="1"/>
      <c r="M28" s="1"/>
      <c r="N28" s="1" t="n">
        <v>17432</v>
      </c>
    </row>
    <row r="29" customFormat="false" ht="12.8" hidden="false" customHeight="false" outlineLevel="0" collapsed="false">
      <c r="A29" s="1" t="n">
        <v>101</v>
      </c>
      <c r="B29" s="1" t="n">
        <v>355217</v>
      </c>
      <c r="C29" s="1" t="n">
        <v>57154</v>
      </c>
      <c r="F29" s="1" t="n">
        <v>7027</v>
      </c>
      <c r="H29" s="1" t="n">
        <v>-56720</v>
      </c>
      <c r="J29" s="1" t="n">
        <v>457122427</v>
      </c>
      <c r="K29" s="1" t="n">
        <v>2261202426</v>
      </c>
      <c r="L29" s="1"/>
      <c r="M29" s="1"/>
      <c r="N29" s="1" t="n">
        <v>17257</v>
      </c>
    </row>
    <row r="30" customFormat="false" ht="12.8" hidden="false" customHeight="false" outlineLevel="0" collapsed="false">
      <c r="A30" s="1" t="n">
        <v>102</v>
      </c>
      <c r="B30" s="1" t="n">
        <v>623634</v>
      </c>
      <c r="C30" s="1" t="n">
        <v>33730</v>
      </c>
      <c r="F30" s="1" t="n">
        <v>173</v>
      </c>
      <c r="H30" s="1" t="n">
        <v>-33730</v>
      </c>
      <c r="J30" s="1" t="n">
        <v>457129462</v>
      </c>
      <c r="K30" s="1" t="n">
        <v>2261145708</v>
      </c>
      <c r="L30" s="1"/>
      <c r="M30" s="1"/>
      <c r="N30" s="1" t="n">
        <v>16328</v>
      </c>
    </row>
    <row r="31" customFormat="false" ht="12.8" hidden="false" customHeight="false" outlineLevel="0" collapsed="false">
      <c r="A31" s="1" t="n">
        <v>1003</v>
      </c>
      <c r="B31" s="1" t="n">
        <v>653188</v>
      </c>
      <c r="E31" s="32"/>
      <c r="J31" s="32" t="n">
        <v>457129639</v>
      </c>
      <c r="K31" s="32" t="n">
        <v>2261111979</v>
      </c>
      <c r="L31" s="32"/>
      <c r="M31" s="32"/>
      <c r="N31" s="32" t="n">
        <v>15767</v>
      </c>
    </row>
    <row r="32" customFormat="false" ht="12.8" hidden="false" customHeight="false" outlineLevel="0" collapsed="false">
      <c r="J32" s="1"/>
      <c r="K32" s="1"/>
      <c r="L32" s="1"/>
      <c r="M32" s="1"/>
    </row>
    <row r="33" customFormat="false" ht="12.8" hidden="false" customHeight="false" outlineLevel="0" collapsed="false">
      <c r="A33" s="33" t="s">
        <v>124</v>
      </c>
      <c r="F33" s="1" t="n">
        <f aca="false">SUM(F27:F30)</f>
        <v>140819</v>
      </c>
      <c r="H33" s="1" t="n">
        <f aca="false">SUM(H27:H30)</f>
        <v>-90226</v>
      </c>
      <c r="J33" s="1"/>
      <c r="K33" s="1"/>
      <c r="L33" s="1"/>
      <c r="M33" s="1"/>
    </row>
    <row r="34" customFormat="false" ht="12.8" hidden="false" customHeight="false" outlineLevel="0" collapsed="false">
      <c r="A34" s="1" t="s">
        <v>125</v>
      </c>
      <c r="J34" s="1"/>
      <c r="K34" s="1"/>
      <c r="L34" s="1"/>
      <c r="M34" s="1"/>
    </row>
    <row r="35" customFormat="false" ht="12.8" hidden="false" customHeight="false" outlineLevel="0" collapsed="false">
      <c r="A35" s="1" t="s">
        <v>126</v>
      </c>
      <c r="F35" s="1" t="n">
        <f aca="false">J27+F33-J31</f>
        <v>-30</v>
      </c>
      <c r="H35" s="1" t="n">
        <f aca="false">K27+H33-K31</f>
        <v>-9</v>
      </c>
      <c r="J35" s="1"/>
      <c r="K35" s="1"/>
      <c r="L35" s="1"/>
      <c r="M35" s="1"/>
    </row>
    <row r="36" customFormat="false" ht="12.8" hidden="false" customHeight="false" outlineLevel="0" collapsed="false">
      <c r="A36" s="1" t="s">
        <v>127</v>
      </c>
      <c r="B36" s="1" t="n">
        <v>-30</v>
      </c>
    </row>
    <row r="37" customFormat="false" ht="12.8" hidden="false" customHeight="false" outlineLevel="0" collapsed="false">
      <c r="A37" s="1" t="s">
        <v>128</v>
      </c>
      <c r="B37" s="1" t="n">
        <v>-9</v>
      </c>
    </row>
    <row r="38" customFormat="false" ht="12.8" hidden="false" customHeight="false" outlineLevel="0" collapsed="false">
      <c r="A38" s="1" t="s">
        <v>129</v>
      </c>
      <c r="B38" s="1" t="n">
        <f aca="false">SUM(C27:C30)</f>
        <v>224560</v>
      </c>
    </row>
    <row r="39" customFormat="false" ht="12.8" hidden="false" customHeight="false" outlineLevel="0" collapsed="false">
      <c r="A39" s="1" t="s">
        <v>130</v>
      </c>
      <c r="B39" s="1" t="n">
        <v>31</v>
      </c>
    </row>
    <row r="40" customFormat="false" ht="12.8" hidden="false" customHeight="false" outlineLevel="0" collapsed="false">
      <c r="A40" s="1" t="s">
        <v>131</v>
      </c>
      <c r="B40" s="1" t="s">
        <v>136</v>
      </c>
    </row>
    <row r="42" customFormat="false" ht="12.8" hidden="false" customHeight="false" outlineLevel="0" collapsed="false">
      <c r="A42" s="1" t="s">
        <v>133</v>
      </c>
      <c r="B42" s="1" t="n">
        <v>5</v>
      </c>
    </row>
    <row r="43" customFormat="false" ht="12.8" hidden="false" customHeight="false" outlineLevel="0" collapsed="false">
      <c r="A43" s="1" t="s">
        <v>134</v>
      </c>
    </row>
    <row r="46" s="1" customFormat="true" ht="12.8" hidden="false" customHeight="false" outlineLevel="0" collapsed="false">
      <c r="A46" s="28"/>
      <c r="B46" s="28"/>
      <c r="C46" s="28"/>
      <c r="D46" s="29"/>
      <c r="E46" s="29" t="s">
        <v>137</v>
      </c>
      <c r="F46" s="29"/>
      <c r="G46" s="29"/>
      <c r="H46" s="29"/>
      <c r="I46" s="29"/>
      <c r="J46" s="29"/>
      <c r="K46" s="29"/>
      <c r="L46" s="29"/>
      <c r="M46" s="29"/>
      <c r="N46" s="29"/>
    </row>
    <row r="47" s="1" customFormat="true" ht="12.8" hidden="false" customHeight="false" outlineLevel="0" collapsed="false">
      <c r="A47" s="28" t="s">
        <v>89</v>
      </c>
      <c r="B47" s="28" t="s">
        <v>115</v>
      </c>
      <c r="C47" s="28" t="s">
        <v>85</v>
      </c>
      <c r="D47" s="29" t="s">
        <v>116</v>
      </c>
      <c r="E47" s="29" t="s">
        <v>117</v>
      </c>
      <c r="F47" s="29" t="s">
        <v>118</v>
      </c>
      <c r="G47" s="29" t="s">
        <v>119</v>
      </c>
      <c r="H47" s="29" t="s">
        <v>120</v>
      </c>
      <c r="I47" s="29" t="s">
        <v>121</v>
      </c>
      <c r="J47" s="29" t="s">
        <v>107</v>
      </c>
      <c r="K47" s="29" t="s">
        <v>108</v>
      </c>
      <c r="L47" s="29" t="s">
        <v>122</v>
      </c>
      <c r="M47" s="29" t="s">
        <v>123</v>
      </c>
      <c r="N47" s="29" t="s">
        <v>109</v>
      </c>
    </row>
    <row r="48" customFormat="false" ht="12.8" hidden="false" customHeight="false" outlineLevel="0" collapsed="false">
      <c r="A48" s="1" t="n">
        <v>1007</v>
      </c>
      <c r="B48" s="1" t="n">
        <v>457619</v>
      </c>
      <c r="C48" s="1" t="n">
        <v>68689</v>
      </c>
      <c r="E48" s="1" t="n">
        <v>6098</v>
      </c>
      <c r="J48" s="32" t="n">
        <v>456988790</v>
      </c>
      <c r="K48" s="32" t="n">
        <v>2261202196</v>
      </c>
      <c r="L48" s="1"/>
      <c r="M48" s="1"/>
      <c r="N48" s="32" t="n">
        <v>17720</v>
      </c>
    </row>
    <row r="49" customFormat="false" ht="12.8" hidden="false" customHeight="false" outlineLevel="0" collapsed="false">
      <c r="A49" s="1" t="n">
        <v>100</v>
      </c>
      <c r="B49" s="1" t="n">
        <v>636053</v>
      </c>
      <c r="C49" s="1" t="n">
        <v>64987</v>
      </c>
      <c r="E49" s="1" t="n">
        <v>1290151</v>
      </c>
      <c r="J49" s="1" t="n">
        <v>457057456</v>
      </c>
      <c r="K49" s="1" t="n">
        <v>2261204238</v>
      </c>
      <c r="L49" s="1"/>
      <c r="M49" s="1"/>
      <c r="N49" s="1" t="n">
        <v>17432</v>
      </c>
    </row>
    <row r="50" customFormat="false" ht="12.8" hidden="false" customHeight="false" outlineLevel="0" collapsed="false">
      <c r="A50" s="1" t="n">
        <v>101</v>
      </c>
      <c r="B50" s="1" t="n">
        <v>355217</v>
      </c>
      <c r="C50" s="1" t="n">
        <v>57154</v>
      </c>
      <c r="E50" s="1" t="n">
        <v>997368</v>
      </c>
      <c r="J50" s="1" t="n">
        <v>457122424</v>
      </c>
      <c r="K50" s="1" t="n">
        <v>2261202406</v>
      </c>
      <c r="L50" s="1"/>
      <c r="M50" s="1"/>
      <c r="N50" s="1" t="n">
        <v>17257</v>
      </c>
    </row>
    <row r="51" customFormat="false" ht="12.8" hidden="false" customHeight="false" outlineLevel="0" collapsed="false">
      <c r="A51" s="1" t="n">
        <v>102</v>
      </c>
      <c r="B51" s="1" t="n">
        <v>623634</v>
      </c>
      <c r="C51" s="1" t="n">
        <v>33730</v>
      </c>
      <c r="E51" s="1" t="n">
        <v>973002</v>
      </c>
      <c r="J51" s="1" t="n">
        <v>457129442</v>
      </c>
      <c r="K51" s="1" t="n">
        <v>2261145694</v>
      </c>
      <c r="L51" s="1"/>
      <c r="M51" s="1"/>
      <c r="N51" s="1" t="n">
        <v>16328</v>
      </c>
    </row>
    <row r="52" customFormat="false" ht="12.8" hidden="false" customHeight="false" outlineLevel="0" collapsed="false">
      <c r="A52" s="1" t="n">
        <v>1003</v>
      </c>
      <c r="B52" s="1" t="n">
        <v>653188</v>
      </c>
      <c r="E52" s="32" t="n">
        <v>978190</v>
      </c>
      <c r="J52" s="32" t="n">
        <v>457129609</v>
      </c>
      <c r="K52" s="32" t="n">
        <v>2261111970</v>
      </c>
      <c r="L52" s="32"/>
      <c r="M52" s="32"/>
      <c r="N52" s="32" t="n">
        <v>15767</v>
      </c>
    </row>
    <row r="53" customFormat="false" ht="12.8" hidden="false" customHeight="false" outlineLevel="0" collapsed="false">
      <c r="A53" s="1" t="n">
        <v>1004</v>
      </c>
      <c r="J53" s="32" t="n">
        <v>457131018</v>
      </c>
      <c r="K53" s="32" t="n">
        <v>2261065036</v>
      </c>
      <c r="L53" s="32"/>
      <c r="M53" s="32"/>
    </row>
    <row r="54" customFormat="false" ht="12.8" hidden="false" customHeight="false" outlineLevel="0" collapsed="false">
      <c r="J54" s="1"/>
      <c r="K54" s="1"/>
      <c r="L54" s="1"/>
      <c r="M54" s="1"/>
    </row>
    <row r="55" customFormat="false" ht="12.8" hidden="false" customHeight="false" outlineLevel="0" collapsed="false">
      <c r="A55" s="33" t="s">
        <v>124</v>
      </c>
      <c r="J55" s="1"/>
      <c r="K55" s="1"/>
      <c r="L55" s="1"/>
      <c r="M55" s="1"/>
    </row>
    <row r="56" customFormat="false" ht="12.8" hidden="false" customHeight="false" outlineLevel="0" collapsed="false">
      <c r="A56" s="1" t="s">
        <v>125</v>
      </c>
      <c r="B56" s="1" t="n">
        <v>0</v>
      </c>
      <c r="J56" s="1"/>
      <c r="K56" s="1"/>
      <c r="L56" s="1"/>
      <c r="M56" s="1"/>
    </row>
    <row r="57" customFormat="false" ht="12.8" hidden="false" customHeight="false" outlineLevel="0" collapsed="false">
      <c r="A57" s="1" t="s">
        <v>126</v>
      </c>
      <c r="J57" s="1"/>
      <c r="K57" s="1"/>
      <c r="L57" s="1"/>
      <c r="M57" s="1"/>
    </row>
    <row r="58" customFormat="false" ht="12.8" hidden="false" customHeight="false" outlineLevel="0" collapsed="false">
      <c r="A58" s="1" t="s">
        <v>127</v>
      </c>
      <c r="B58" s="1" t="n">
        <v>-23</v>
      </c>
    </row>
    <row r="59" customFormat="false" ht="12.8" hidden="false" customHeight="false" outlineLevel="0" collapsed="false">
      <c r="A59" s="1" t="s">
        <v>128</v>
      </c>
      <c r="B59" s="1" t="n">
        <v>-39</v>
      </c>
    </row>
    <row r="60" customFormat="false" ht="12.8" hidden="false" customHeight="false" outlineLevel="0" collapsed="false">
      <c r="A60" s="1" t="s">
        <v>129</v>
      </c>
      <c r="B60" s="1" t="n">
        <f aca="false">SUM(C48:C51)</f>
        <v>224560</v>
      </c>
    </row>
    <row r="61" customFormat="false" ht="12.8" hidden="false" customHeight="false" outlineLevel="0" collapsed="false">
      <c r="A61" s="1" t="s">
        <v>130</v>
      </c>
      <c r="B61" s="1" t="n">
        <v>45</v>
      </c>
    </row>
    <row r="62" customFormat="false" ht="12.8" hidden="false" customHeight="false" outlineLevel="0" collapsed="false">
      <c r="A62" s="1" t="s">
        <v>131</v>
      </c>
      <c r="B62" s="1" t="s">
        <v>138</v>
      </c>
    </row>
    <row r="64" customFormat="false" ht="12.8" hidden="false" customHeight="false" outlineLevel="0" collapsed="false">
      <c r="A64" s="1" t="s">
        <v>133</v>
      </c>
      <c r="B64" s="1" t="n">
        <v>5</v>
      </c>
    </row>
    <row r="65" customFormat="false" ht="12.8" hidden="false" customHeight="false" outlineLevel="0" collapsed="false">
      <c r="A65" s="1" t="s">
        <v>134</v>
      </c>
    </row>
    <row r="68" s="1" customFormat="true" ht="12.8" hidden="false" customHeight="false" outlineLevel="0" collapsed="false">
      <c r="A68" s="28"/>
      <c r="B68" s="28"/>
      <c r="C68" s="28"/>
      <c r="D68" s="29"/>
      <c r="E68" s="29" t="s">
        <v>139</v>
      </c>
      <c r="F68" s="29"/>
      <c r="G68" s="29"/>
      <c r="H68" s="29"/>
      <c r="I68" s="29"/>
      <c r="J68" s="29"/>
      <c r="K68" s="29"/>
      <c r="L68" s="29"/>
      <c r="M68" s="29"/>
      <c r="N68" s="29"/>
    </row>
    <row r="69" s="1" customFormat="true" ht="12.8" hidden="false" customHeight="false" outlineLevel="0" collapsed="false">
      <c r="A69" s="28" t="s">
        <v>89</v>
      </c>
      <c r="B69" s="28" t="s">
        <v>115</v>
      </c>
      <c r="C69" s="28" t="s">
        <v>85</v>
      </c>
      <c r="D69" s="29" t="s">
        <v>116</v>
      </c>
      <c r="E69" s="29" t="s">
        <v>117</v>
      </c>
      <c r="F69" s="29" t="s">
        <v>118</v>
      </c>
      <c r="G69" s="29" t="s">
        <v>119</v>
      </c>
      <c r="H69" s="29" t="s">
        <v>120</v>
      </c>
      <c r="I69" s="29" t="s">
        <v>121</v>
      </c>
      <c r="J69" s="29" t="s">
        <v>107</v>
      </c>
      <c r="K69" s="29" t="s">
        <v>108</v>
      </c>
      <c r="L69" s="29" t="s">
        <v>122</v>
      </c>
      <c r="M69" s="29" t="s">
        <v>123</v>
      </c>
      <c r="N69" s="29" t="s">
        <v>109</v>
      </c>
    </row>
    <row r="70" customFormat="false" ht="12.8" hidden="false" customHeight="false" outlineLevel="0" collapsed="false">
      <c r="A70" s="1" t="n">
        <v>1008</v>
      </c>
      <c r="B70" s="1" t="n">
        <v>0</v>
      </c>
      <c r="C70" s="1" t="n">
        <v>0</v>
      </c>
      <c r="E70" s="32" t="n">
        <v>196534</v>
      </c>
      <c r="J70" s="32" t="n">
        <v>456961430</v>
      </c>
      <c r="K70" s="32" t="n">
        <v>2261163707</v>
      </c>
      <c r="L70" s="32"/>
      <c r="M70" s="32"/>
    </row>
    <row r="71" customFormat="false" ht="12.8" hidden="false" customHeight="false" outlineLevel="0" collapsed="false">
      <c r="A71" s="1" t="n">
        <v>1007</v>
      </c>
      <c r="B71" s="1" t="n">
        <v>457619</v>
      </c>
      <c r="C71" s="1" t="n">
        <v>68689</v>
      </c>
      <c r="J71" s="32" t="n">
        <v>456988790</v>
      </c>
      <c r="K71" s="32" t="n">
        <v>2261202196</v>
      </c>
      <c r="L71" s="1"/>
      <c r="M71" s="1"/>
      <c r="N71" s="32" t="n">
        <v>17720</v>
      </c>
    </row>
    <row r="72" customFormat="false" ht="12.8" hidden="false" customHeight="false" outlineLevel="0" collapsed="false">
      <c r="A72" s="1" t="n">
        <v>100</v>
      </c>
      <c r="B72" s="1" t="n">
        <v>636053</v>
      </c>
      <c r="C72" s="1" t="n">
        <v>64987</v>
      </c>
      <c r="J72" s="1" t="n">
        <v>457057448</v>
      </c>
      <c r="K72" s="1" t="n">
        <v>2261204245</v>
      </c>
      <c r="L72" s="1"/>
      <c r="M72" s="1"/>
      <c r="N72" s="1" t="n">
        <v>17434</v>
      </c>
    </row>
    <row r="73" customFormat="false" ht="12.8" hidden="false" customHeight="false" outlineLevel="0" collapsed="false">
      <c r="A73" s="1" t="n">
        <v>101</v>
      </c>
      <c r="B73" s="1" t="n">
        <v>355217</v>
      </c>
      <c r="C73" s="1" t="n">
        <v>57154</v>
      </c>
      <c r="J73" s="1" t="n">
        <v>457122409</v>
      </c>
      <c r="K73" s="1" t="n">
        <v>2261202420</v>
      </c>
      <c r="L73" s="1"/>
      <c r="M73" s="1"/>
      <c r="N73" s="1" t="n">
        <v>17260</v>
      </c>
    </row>
    <row r="74" customFormat="false" ht="12.8" hidden="false" customHeight="false" outlineLevel="0" collapsed="false">
      <c r="A74" s="1" t="n">
        <v>102</v>
      </c>
      <c r="B74" s="1" t="n">
        <v>623634</v>
      </c>
      <c r="C74" s="1" t="n">
        <v>33730</v>
      </c>
      <c r="J74" s="1" t="n">
        <v>457129436</v>
      </c>
      <c r="K74" s="1" t="n">
        <v>2261145700</v>
      </c>
      <c r="L74" s="1"/>
      <c r="M74" s="1"/>
      <c r="N74" s="1" t="n">
        <v>16332</v>
      </c>
    </row>
    <row r="75" customFormat="false" ht="12.8" hidden="false" customHeight="false" outlineLevel="0" collapsed="false">
      <c r="E75" s="32"/>
      <c r="J75" s="32"/>
      <c r="K75" s="32"/>
      <c r="L75" s="32"/>
      <c r="M75" s="32"/>
      <c r="N75" s="32"/>
    </row>
    <row r="76" customFormat="false" ht="12.8" hidden="false" customHeight="false" outlineLevel="0" collapsed="false">
      <c r="J76" s="32"/>
      <c r="K76" s="32"/>
      <c r="L76" s="32"/>
      <c r="M76" s="32"/>
    </row>
    <row r="77" customFormat="false" ht="12.8" hidden="false" customHeight="false" outlineLevel="0" collapsed="false">
      <c r="J77" s="1"/>
      <c r="K77" s="1"/>
      <c r="L77" s="1"/>
      <c r="M77" s="1"/>
    </row>
    <row r="78" customFormat="false" ht="12.8" hidden="false" customHeight="false" outlineLevel="0" collapsed="false">
      <c r="A78" s="33" t="s">
        <v>124</v>
      </c>
      <c r="B78" s="1" t="n">
        <f aca="false">SUM(B71:B75)</f>
        <v>2072523</v>
      </c>
      <c r="J78" s="1"/>
      <c r="K78" s="1"/>
      <c r="L78" s="1"/>
      <c r="M78" s="1"/>
    </row>
    <row r="79" customFormat="false" ht="12.8" hidden="false" customHeight="false" outlineLevel="0" collapsed="false">
      <c r="A79" s="1" t="s">
        <v>125</v>
      </c>
      <c r="B79" s="1" t="n">
        <v>0</v>
      </c>
      <c r="J79" s="1"/>
      <c r="K79" s="1"/>
      <c r="L79" s="1"/>
      <c r="M79" s="1"/>
    </row>
    <row r="80" customFormat="false" ht="12.8" hidden="false" customHeight="false" outlineLevel="0" collapsed="false">
      <c r="A80" s="1" t="s">
        <v>126</v>
      </c>
      <c r="J80" s="1"/>
      <c r="K80" s="1"/>
      <c r="L80" s="1"/>
      <c r="M80" s="1"/>
    </row>
    <row r="81" customFormat="false" ht="12.8" hidden="false" customHeight="false" outlineLevel="0" collapsed="false">
      <c r="A81" s="1" t="s">
        <v>127</v>
      </c>
      <c r="B81" s="1" t="n">
        <v>0</v>
      </c>
    </row>
    <row r="82" customFormat="false" ht="12.8" hidden="false" customHeight="false" outlineLevel="0" collapsed="false">
      <c r="A82" s="1" t="s">
        <v>128</v>
      </c>
      <c r="B82" s="1" t="n">
        <v>0</v>
      </c>
    </row>
    <row r="83" customFormat="false" ht="12.8" hidden="false" customHeight="false" outlineLevel="0" collapsed="false">
      <c r="A83" s="1" t="s">
        <v>129</v>
      </c>
      <c r="B83" s="1" t="n">
        <f aca="false">SUM(C71:C73)</f>
        <v>190830</v>
      </c>
    </row>
    <row r="84" customFormat="false" ht="12.8" hidden="false" customHeight="false" outlineLevel="0" collapsed="false">
      <c r="A84" s="1" t="s">
        <v>130</v>
      </c>
      <c r="B84" s="1" t="n">
        <v>0</v>
      </c>
    </row>
    <row r="85" customFormat="false" ht="12.8" hidden="false" customHeight="false" outlineLevel="0" collapsed="false">
      <c r="A85" s="1" t="s">
        <v>131</v>
      </c>
      <c r="B85" s="1" t="s">
        <v>140</v>
      </c>
    </row>
    <row r="87" customFormat="false" ht="12.8" hidden="false" customHeight="false" outlineLevel="0" collapsed="false">
      <c r="A87" s="1" t="s">
        <v>133</v>
      </c>
      <c r="B87" s="1" t="n">
        <v>0</v>
      </c>
    </row>
    <row r="88" customFormat="false" ht="12.8" hidden="false" customHeight="false" outlineLevel="0" collapsed="false">
      <c r="A88" s="1" t="s">
        <v>134</v>
      </c>
    </row>
    <row r="91" s="1" customFormat="true" ht="12.8" hidden="false" customHeight="false" outlineLevel="0" collapsed="false">
      <c r="A91" s="28"/>
      <c r="B91" s="28"/>
      <c r="C91" s="28"/>
      <c r="D91" s="29"/>
      <c r="E91" s="29" t="s">
        <v>141</v>
      </c>
      <c r="F91" s="29"/>
      <c r="G91" s="29"/>
      <c r="H91" s="29"/>
      <c r="I91" s="29"/>
      <c r="J91" s="29"/>
      <c r="K91" s="29"/>
      <c r="L91" s="29"/>
      <c r="M91" s="29"/>
      <c r="N91" s="29"/>
    </row>
    <row r="92" s="1" customFormat="true" ht="12.8" hidden="false" customHeight="false" outlineLevel="0" collapsed="false">
      <c r="A92" s="28" t="s">
        <v>89</v>
      </c>
      <c r="B92" s="28" t="s">
        <v>115</v>
      </c>
      <c r="C92" s="28" t="s">
        <v>85</v>
      </c>
      <c r="D92" s="29" t="s">
        <v>116</v>
      </c>
      <c r="E92" s="29" t="s">
        <v>117</v>
      </c>
      <c r="F92" s="29" t="s">
        <v>118</v>
      </c>
      <c r="G92" s="29" t="s">
        <v>119</v>
      </c>
      <c r="H92" s="29" t="s">
        <v>120</v>
      </c>
      <c r="I92" s="29" t="s">
        <v>121</v>
      </c>
      <c r="J92" s="29" t="s">
        <v>107</v>
      </c>
      <c r="K92" s="29" t="s">
        <v>108</v>
      </c>
      <c r="L92" s="29" t="s">
        <v>122</v>
      </c>
      <c r="M92" s="29" t="s">
        <v>123</v>
      </c>
      <c r="N92" s="29" t="s">
        <v>109</v>
      </c>
    </row>
    <row r="93" customFormat="false" ht="12.8" hidden="false" customHeight="false" outlineLevel="0" collapsed="false">
      <c r="A93" s="1" t="n">
        <v>100</v>
      </c>
      <c r="B93" s="1" t="n">
        <v>636053</v>
      </c>
      <c r="C93" s="1" t="n">
        <v>64987</v>
      </c>
      <c r="J93" s="1" t="n">
        <v>457057472</v>
      </c>
      <c r="K93" s="1" t="n">
        <v>2261204265</v>
      </c>
      <c r="L93" s="1"/>
      <c r="M93" s="1"/>
      <c r="N93" s="1" t="n">
        <v>17429</v>
      </c>
    </row>
    <row r="94" customFormat="false" ht="12.8" hidden="false" customHeight="false" outlineLevel="0" collapsed="false">
      <c r="A94" s="1" t="n">
        <v>101</v>
      </c>
      <c r="B94" s="1" t="n">
        <v>355217</v>
      </c>
      <c r="C94" s="1" t="n">
        <v>57154</v>
      </c>
      <c r="J94" s="1" t="n">
        <v>457122433</v>
      </c>
      <c r="K94" s="1" t="n">
        <v>2261202422</v>
      </c>
      <c r="L94" s="1"/>
      <c r="M94" s="1"/>
      <c r="N94" s="1" t="n">
        <v>17255</v>
      </c>
    </row>
    <row r="95" customFormat="false" ht="12.8" hidden="false" customHeight="false" outlineLevel="0" collapsed="false">
      <c r="A95" s="1" t="n">
        <v>102</v>
      </c>
      <c r="B95" s="1" t="n">
        <v>623634</v>
      </c>
      <c r="C95" s="1" t="n">
        <v>33730</v>
      </c>
      <c r="J95" s="1" t="n">
        <v>457129445</v>
      </c>
      <c r="K95" s="1" t="n">
        <v>2261145700</v>
      </c>
      <c r="L95" s="1"/>
      <c r="M95" s="1"/>
      <c r="N95" s="1" t="n">
        <v>16327</v>
      </c>
    </row>
    <row r="96" customFormat="false" ht="12.8" hidden="false" customHeight="false" outlineLevel="0" collapsed="false">
      <c r="A96" s="1" t="n">
        <v>1003</v>
      </c>
      <c r="B96" s="1" t="n">
        <v>653188</v>
      </c>
      <c r="E96" s="32" t="n">
        <v>978190</v>
      </c>
      <c r="J96" s="32" t="n">
        <v>457129609</v>
      </c>
      <c r="K96" s="32" t="n">
        <v>2261111970</v>
      </c>
      <c r="L96" s="32"/>
      <c r="M96" s="32"/>
      <c r="N96" s="32" t="n">
        <v>15767</v>
      </c>
    </row>
    <row r="97" customFormat="false" ht="12.8" hidden="false" customHeight="false" outlineLevel="0" collapsed="false">
      <c r="A97" s="1" t="n">
        <v>1004</v>
      </c>
      <c r="J97" s="32" t="n">
        <v>457131018</v>
      </c>
      <c r="K97" s="32" t="n">
        <v>2261065036</v>
      </c>
      <c r="L97" s="32"/>
      <c r="M97" s="32"/>
    </row>
    <row r="98" customFormat="false" ht="12.8" hidden="false" customHeight="false" outlineLevel="0" collapsed="false">
      <c r="J98" s="1"/>
      <c r="K98" s="1"/>
      <c r="L98" s="1"/>
      <c r="M98" s="1"/>
    </row>
    <row r="99" customFormat="false" ht="12.8" hidden="false" customHeight="false" outlineLevel="0" collapsed="false">
      <c r="A99" s="33" t="s">
        <v>124</v>
      </c>
      <c r="J99" s="1"/>
      <c r="K99" s="1"/>
      <c r="L99" s="1"/>
      <c r="M99" s="1"/>
    </row>
    <row r="100" customFormat="false" ht="12.8" hidden="false" customHeight="false" outlineLevel="0" collapsed="false">
      <c r="A100" s="1" t="s">
        <v>125</v>
      </c>
      <c r="J100" s="1"/>
      <c r="K100" s="1"/>
      <c r="L100" s="1"/>
      <c r="M100" s="1"/>
    </row>
    <row r="101" customFormat="false" ht="12.8" hidden="false" customHeight="false" outlineLevel="0" collapsed="false">
      <c r="A101" s="1" t="s">
        <v>126</v>
      </c>
      <c r="J101" s="1"/>
      <c r="K101" s="1"/>
      <c r="L101" s="1"/>
      <c r="M101" s="1"/>
    </row>
    <row r="102" customFormat="false" ht="12.8" hidden="false" customHeight="false" outlineLevel="0" collapsed="false">
      <c r="A102" s="1" t="s">
        <v>127</v>
      </c>
    </row>
    <row r="103" customFormat="false" ht="12.8" hidden="false" customHeight="false" outlineLevel="0" collapsed="false">
      <c r="A103" s="1" t="s">
        <v>128</v>
      </c>
    </row>
    <row r="104" customFormat="false" ht="12.8" hidden="false" customHeight="false" outlineLevel="0" collapsed="false">
      <c r="A104" s="1" t="s">
        <v>129</v>
      </c>
      <c r="B104" s="1" t="n">
        <f aca="false">SUM(C93:C95)</f>
        <v>155871</v>
      </c>
    </row>
    <row r="105" customFormat="false" ht="12.8" hidden="false" customHeight="false" outlineLevel="0" collapsed="false">
      <c r="A105" s="1" t="s">
        <v>130</v>
      </c>
    </row>
    <row r="106" customFormat="false" ht="12.8" hidden="false" customHeight="false" outlineLevel="0" collapsed="false">
      <c r="A106" s="1" t="s">
        <v>131</v>
      </c>
    </row>
    <row r="108" customFormat="false" ht="12.8" hidden="false" customHeight="false" outlineLevel="0" collapsed="false">
      <c r="A108" s="1" t="s">
        <v>133</v>
      </c>
    </row>
    <row r="109" customFormat="false" ht="12.8" hidden="false" customHeight="false" outlineLevel="0" collapsed="false">
      <c r="A109" s="1" t="s">
        <v>134</v>
      </c>
    </row>
    <row r="112" s="1" customFormat="true" ht="12.8" hidden="false" customHeight="false" outlineLevel="0" collapsed="false">
      <c r="A112" s="28"/>
      <c r="B112" s="28"/>
      <c r="C112" s="28"/>
      <c r="D112" s="29"/>
      <c r="E112" s="29" t="s">
        <v>142</v>
      </c>
      <c r="F112" s="29"/>
      <c r="G112" s="29"/>
      <c r="H112" s="29"/>
      <c r="I112" s="29"/>
      <c r="J112" s="29"/>
      <c r="K112" s="29"/>
      <c r="L112" s="29"/>
      <c r="M112" s="29"/>
      <c r="N112" s="29"/>
    </row>
    <row r="113" s="1" customFormat="true" ht="12.8" hidden="false" customHeight="false" outlineLevel="0" collapsed="false">
      <c r="A113" s="28" t="s">
        <v>89</v>
      </c>
      <c r="B113" s="28" t="s">
        <v>115</v>
      </c>
      <c r="C113" s="28" t="s">
        <v>85</v>
      </c>
      <c r="D113" s="29" t="s">
        <v>116</v>
      </c>
      <c r="E113" s="29" t="s">
        <v>117</v>
      </c>
      <c r="F113" s="29" t="s">
        <v>118</v>
      </c>
      <c r="G113" s="29" t="s">
        <v>119</v>
      </c>
      <c r="H113" s="29" t="s">
        <v>120</v>
      </c>
      <c r="I113" s="29" t="s">
        <v>121</v>
      </c>
      <c r="J113" s="29" t="s">
        <v>107</v>
      </c>
      <c r="K113" s="29" t="s">
        <v>108</v>
      </c>
      <c r="L113" s="29" t="s">
        <v>122</v>
      </c>
      <c r="M113" s="29" t="s">
        <v>123</v>
      </c>
      <c r="N113" s="29" t="s">
        <v>109</v>
      </c>
    </row>
    <row r="114" customFormat="false" ht="12.8" hidden="false" customHeight="false" outlineLevel="0" collapsed="false">
      <c r="A114" s="1" t="n">
        <v>1007</v>
      </c>
      <c r="C114" s="1" t="n">
        <v>68689</v>
      </c>
      <c r="J114" s="32" t="n">
        <v>456988700</v>
      </c>
      <c r="K114" s="32" t="n">
        <v>2261202196</v>
      </c>
      <c r="L114" s="1"/>
      <c r="M114" s="1"/>
      <c r="N114" s="32" t="n">
        <v>17720</v>
      </c>
    </row>
    <row r="115" customFormat="false" ht="12.8" hidden="false" customHeight="false" outlineLevel="0" collapsed="false">
      <c r="A115" s="1" t="n">
        <v>100</v>
      </c>
      <c r="B115" s="1" t="n">
        <v>636053</v>
      </c>
      <c r="C115" s="1" t="n">
        <v>64987</v>
      </c>
      <c r="J115" s="1" t="n">
        <v>457057377</v>
      </c>
      <c r="K115" s="1" t="n">
        <v>2261204252</v>
      </c>
      <c r="L115" s="1"/>
      <c r="M115" s="1"/>
      <c r="N115" s="1" t="n">
        <v>17432</v>
      </c>
    </row>
    <row r="116" customFormat="false" ht="12.8" hidden="false" customHeight="false" outlineLevel="0" collapsed="false">
      <c r="A116" s="1" t="n">
        <v>101</v>
      </c>
      <c r="B116" s="1" t="n">
        <v>355217</v>
      </c>
      <c r="C116" s="1" t="n">
        <v>57154</v>
      </c>
      <c r="J116" s="1" t="n">
        <v>457122357</v>
      </c>
      <c r="K116" s="1" t="n">
        <v>2261202434</v>
      </c>
      <c r="L116" s="1"/>
      <c r="M116" s="1"/>
      <c r="N116" s="1" t="n">
        <v>17257</v>
      </c>
    </row>
    <row r="117" customFormat="false" ht="12.8" hidden="false" customHeight="false" outlineLevel="0" collapsed="false">
      <c r="A117" s="1" t="n">
        <v>102</v>
      </c>
      <c r="B117" s="1" t="n">
        <v>623634</v>
      </c>
      <c r="C117" s="1" t="n">
        <v>33730</v>
      </c>
      <c r="J117" s="1" t="n">
        <v>457129416</v>
      </c>
      <c r="K117" s="1" t="n">
        <v>2261145706</v>
      </c>
      <c r="L117" s="1"/>
      <c r="M117" s="1"/>
      <c r="N117" s="1" t="n">
        <v>16328</v>
      </c>
    </row>
    <row r="118" customFormat="false" ht="12.8" hidden="false" customHeight="false" outlineLevel="0" collapsed="false">
      <c r="A118" s="1" t="n">
        <v>1003</v>
      </c>
      <c r="E118" s="32"/>
      <c r="J118" s="32" t="n">
        <v>457129609</v>
      </c>
      <c r="K118" s="32" t="n">
        <v>2261111970</v>
      </c>
      <c r="L118" s="32"/>
      <c r="M118" s="32"/>
      <c r="N118" s="32" t="n">
        <v>15767</v>
      </c>
    </row>
    <row r="119" customFormat="false" ht="12.8" hidden="false" customHeight="false" outlineLevel="0" collapsed="false">
      <c r="J119" s="1"/>
      <c r="K119" s="1"/>
      <c r="L119" s="1"/>
      <c r="M119" s="1"/>
    </row>
    <row r="120" customFormat="false" ht="12.8" hidden="false" customHeight="false" outlineLevel="0" collapsed="false">
      <c r="A120" s="33" t="s">
        <v>124</v>
      </c>
      <c r="J120" s="1"/>
      <c r="K120" s="1"/>
      <c r="L120" s="1"/>
      <c r="M120" s="1"/>
    </row>
    <row r="121" customFormat="false" ht="12.8" hidden="false" customHeight="false" outlineLevel="0" collapsed="false">
      <c r="A121" s="1" t="s">
        <v>125</v>
      </c>
      <c r="J121" s="1"/>
      <c r="K121" s="1"/>
      <c r="L121" s="1"/>
      <c r="M121" s="1"/>
    </row>
    <row r="122" customFormat="false" ht="12.8" hidden="false" customHeight="false" outlineLevel="0" collapsed="false">
      <c r="A122" s="1" t="s">
        <v>126</v>
      </c>
      <c r="J122" s="1"/>
      <c r="K122" s="1"/>
      <c r="L122" s="1"/>
      <c r="M122" s="1"/>
    </row>
    <row r="123" customFormat="false" ht="12.8" hidden="false" customHeight="false" outlineLevel="0" collapsed="false">
      <c r="A123" s="1" t="s">
        <v>127</v>
      </c>
      <c r="B123" s="1" t="n">
        <v>-63</v>
      </c>
    </row>
    <row r="124" customFormat="false" ht="12.8" hidden="false" customHeight="false" outlineLevel="0" collapsed="false">
      <c r="A124" s="1" t="s">
        <v>128</v>
      </c>
      <c r="B124" s="1" t="n">
        <v>41</v>
      </c>
    </row>
    <row r="125" customFormat="false" ht="12.8" hidden="false" customHeight="false" outlineLevel="0" collapsed="false">
      <c r="A125" s="1" t="s">
        <v>129</v>
      </c>
      <c r="B125" s="1" t="n">
        <f aca="false">SUM(C114:C117)</f>
        <v>224560</v>
      </c>
    </row>
    <row r="126" customFormat="false" ht="12.8" hidden="false" customHeight="false" outlineLevel="0" collapsed="false">
      <c r="A126" s="1" t="s">
        <v>130</v>
      </c>
      <c r="B126" s="1" t="n">
        <v>75</v>
      </c>
    </row>
    <row r="127" customFormat="false" ht="12.8" hidden="false" customHeight="false" outlineLevel="0" collapsed="false">
      <c r="A127" s="1" t="s">
        <v>131</v>
      </c>
      <c r="B127" s="1" t="s">
        <v>143</v>
      </c>
    </row>
    <row r="129" customFormat="false" ht="12.8" hidden="false" customHeight="false" outlineLevel="0" collapsed="false">
      <c r="A129" s="1" t="s">
        <v>133</v>
      </c>
      <c r="B129" s="1" t="n">
        <v>5</v>
      </c>
    </row>
    <row r="130" customFormat="false" ht="12.8" hidden="false" customHeight="false" outlineLevel="0" collapsed="false">
      <c r="A130" s="1" t="s">
        <v>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15.97"/>
    <col collapsed="false" customWidth="true" hidden="false" outlineLevel="0" max="3" min="3" style="1" width="17.64"/>
    <col collapsed="false" customWidth="true" hidden="false" outlineLevel="0" max="4" min="4" style="1" width="18.89"/>
  </cols>
  <sheetData>
    <row r="1" customFormat="false" ht="12.8" hidden="false" customHeight="false" outlineLevel="0" collapsed="false">
      <c r="A1" s="1" t="s">
        <v>144</v>
      </c>
    </row>
    <row r="2" customFormat="false" ht="12.8" hidden="false" customHeight="false" outlineLevel="0" collapsed="false">
      <c r="A2" s="29" t="s">
        <v>145</v>
      </c>
      <c r="B2" s="29" t="s">
        <v>146</v>
      </c>
      <c r="C2" s="29" t="s">
        <v>147</v>
      </c>
      <c r="D2" s="29" t="s">
        <v>148</v>
      </c>
    </row>
    <row r="3" customFormat="false" ht="12.8" hidden="false" customHeight="false" outlineLevel="0" collapsed="false">
      <c r="A3" s="1" t="n">
        <v>0</v>
      </c>
      <c r="B3" s="1" t="n">
        <v>0</v>
      </c>
      <c r="C3" s="1" t="n">
        <v>0</v>
      </c>
      <c r="D3" s="1" t="n">
        <v>0</v>
      </c>
    </row>
    <row r="4" customFormat="false" ht="12.8" hidden="false" customHeight="false" outlineLevel="0" collapsed="false">
      <c r="A4" s="1" t="n">
        <v>100000</v>
      </c>
      <c r="B4" s="1" t="n">
        <v>0</v>
      </c>
      <c r="C4" s="1" t="n">
        <v>0</v>
      </c>
      <c r="D4" s="1" t="n">
        <v>100000</v>
      </c>
    </row>
    <row r="5" customFormat="false" ht="12.8" hidden="false" customHeight="false" outlineLevel="0" collapsed="false">
      <c r="A5" s="1" t="n">
        <v>100000</v>
      </c>
      <c r="B5" s="1" t="n">
        <v>1.0203</v>
      </c>
      <c r="C5" s="1" t="n">
        <v>3723</v>
      </c>
      <c r="D5" s="1" t="n">
        <v>99984</v>
      </c>
    </row>
    <row r="6" customFormat="false" ht="12.8" hidden="false" customHeight="false" outlineLevel="0" collapsed="false">
      <c r="A6" s="1" t="n">
        <v>100000</v>
      </c>
      <c r="B6" s="1" t="n">
        <v>-1.0203</v>
      </c>
      <c r="C6" s="1" t="n">
        <v>-3723</v>
      </c>
      <c r="D6" s="1" t="n">
        <v>99984</v>
      </c>
    </row>
    <row r="7" customFormat="false" ht="12.8" hidden="false" customHeight="false" outlineLevel="0" collapsed="false">
      <c r="A7" s="1" t="n">
        <v>100000</v>
      </c>
      <c r="B7" s="1" t="n">
        <v>0.0001</v>
      </c>
      <c r="C7" s="1" t="n">
        <v>1</v>
      </c>
      <c r="D7" s="1" t="n">
        <v>100000</v>
      </c>
    </row>
    <row r="8" customFormat="false" ht="12.8" hidden="false" customHeight="false" outlineLevel="0" collapsed="false">
      <c r="A8" s="1" t="n">
        <v>100000</v>
      </c>
      <c r="B8" s="1" t="n">
        <v>15.0101</v>
      </c>
      <c r="C8" s="1" t="n">
        <v>54061</v>
      </c>
      <c r="D8" s="1" t="n">
        <v>96585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2024-09-04T10:51:50Z</dcterms:created>
  <dc:creator/>
  <dc:description/>
  <dc:language>ru-RU</dc:language>
  <cp:lastModifiedBy/>
  <dcterms:modified xsi:type="dcterms:W3CDTF">2026-04-28T14:32:39Z</dcterms:modified>
  <cp:revision>136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